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https://d.docs.live.net/f82ec90ccc8de6c5/Documentos/Curso de Excel/"/>
    </mc:Choice>
  </mc:AlternateContent>
  <xr:revisionPtr revIDLastSave="0" documentId="8_{9A300122-F1F3-4BAD-AC6E-956A6A54DE5E}" xr6:coauthVersionLast="47" xr6:coauthVersionMax="47" xr10:uidLastSave="{00000000-0000-0000-0000-000000000000}"/>
  <bookViews>
    <workbookView xWindow="-108" yWindow="-108" windowWidth="23256" windowHeight="12456" tabRatio="658" firstSheet="9" activeTab="9" xr2:uid="{4CD87DEC-BEF0-43C2-88B4-697E058D068E}"/>
  </bookViews>
  <sheets>
    <sheet name="datos_crudos" sheetId="1" state="hidden" r:id="rId1"/>
    <sheet name="Fact_Transacciones" sheetId="2" state="hidden" r:id="rId2"/>
    <sheet name="Dim_Clientes" sheetId="3" state="hidden" r:id="rId3"/>
    <sheet name="Dim_Productos" sheetId="4" state="hidden" r:id="rId4"/>
    <sheet name="Dim_Calendario" sheetId="5" state="hidden" r:id="rId5"/>
    <sheet name="Estadistica_Descriptiva" sheetId="8" state="hidden" r:id="rId6"/>
    <sheet name="Simulacion_Financiera" sheetId="11" state="hidden" r:id="rId7"/>
    <sheet name="Resumen del escenario" sheetId="16" state="hidden" r:id="rId8"/>
    <sheet name="Motor_KPI" sheetId="17" state="hidden" r:id="rId9"/>
    <sheet name="Dashboard_Final" sheetId="18" r:id="rId10"/>
    <sheet name="Notas_Analisis_IA" sheetId="19" r:id="rId11"/>
  </sheets>
  <definedNames>
    <definedName name="DatosExternos_1" localSheetId="1" hidden="1">Fact_Transacciones!$A$1:$R$393</definedName>
    <definedName name="DatosExternos_2" localSheetId="2" hidden="1">Dim_Clientes!$A$1:$A$31</definedName>
    <definedName name="DatosExternos_3" localSheetId="3" hidden="1">Dim_Productos!$A$1:$A$16</definedName>
    <definedName name="DatosExternos_4" localSheetId="4" hidden="1">Dim_Calendario!$A$1:$G$366</definedName>
    <definedName name="SegmentaciónDeDatos_Canal">#N/A</definedName>
    <definedName name="SegmentaciónDeDatos_Fecha__mes">#N/A</definedName>
    <definedName name="SegmentaciónDeDatos_Region">#N/A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s>
  <extLst>
    <ext xmlns:x14="http://schemas.microsoft.com/office/spreadsheetml/2009/9/main" uri="{876F7934-8845-4945-9796-88D515C7AA90}">
      <x14:pivotCaches>
        <pivotCache cacheId="11" r:id="rId23"/>
        <pivotCache cacheId="12"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act_Transacciones_4c7e25dd-f00f-4777-90dc-f50dc92e52e8" name="Fact_Transacciones" connection="Consulta - Fact_Transacciones"/>
          <x15:modelTable id="Dim_Clientes_1737c7cd-a36e-44f9-a077-bd343a8a09d9" name="Dim_Clientes" connection="Consulta - Dim_Clientes"/>
          <x15:modelTable id="Dim_Productos_6bcdd12e-39f9-43fa-98a4-eb9bfb6b121a" name="Dim_Productos" connection="Consulta - Dim_Productos"/>
          <x15:modelTable id="Dim_Calendario_b542d55e-b3e5-4e76-932a-f1691f52003f" name="Dim_Calendario" connection="Consulta - Dim_Calendario"/>
        </x15:modelTables>
        <x15:modelRelationships>
          <x15:modelRelationship fromTable="Fact_Transacciones" fromColumn="ID_Cliente" toTable="Dim_Clientes" toColumn="ID_Cliente"/>
          <x15:modelRelationship fromTable="Fact_Transacciones" fromColumn="ID_Producto" toTable="Dim_Productos" toColumn="ID_Producto"/>
          <x15:modelRelationship fromTable="Fact_Transacciones" fromColumn="Fecha" toTable="Dim_Calendario" toColumn="Fecha"/>
        </x15:modelRelationships>
        <x15:extLst>
          <ext xmlns:x16="http://schemas.microsoft.com/office/spreadsheetml/2014/11/main" uri="{9835A34E-60A6-4A7C-AAB8-D5F71C897F49}">
            <x16:modelTimeGroupings>
              <x16:modelTimeGrouping tableName="Fact_Transacciones" columnName="Fecha" columnId="Fecha">
                <x16:calculatedTimeColumn columnName="Fecha (índice de meses)" columnId="Fecha (índice de meses)" contentType="monthsindex" isSelected="1"/>
                <x16:calculatedTimeColumn columnName="Fecha (mes)" columnId="Fecha (mes)"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1" l="1"/>
  <c r="B8" i="11"/>
  <c r="B10" i="11" s="1"/>
  <c r="F10" i="18"/>
  <c r="B11"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A8EBE6-F13A-4102-91C6-921573AFE143}" name="Consulta - Dim_Calendario" description="Conexión a la consulta 'Dim_Calendario' en el libro." type="100" refreshedVersion="8" minRefreshableVersion="5">
    <extLst>
      <ext xmlns:x15="http://schemas.microsoft.com/office/spreadsheetml/2010/11/main" uri="{DE250136-89BD-433C-8126-D09CA5730AF9}">
        <x15:connection id="2059f7b5-e58a-4781-9819-8aae695f318c">
          <x15:oledbPr connection="Provider=Microsoft.Mashup.OleDb.1;Data Source=$Workbook$;Location=Dim_Calendario;Extended Properties=&quot;&quot;">
            <x15:dbTables>
              <x15:dbTable name="Dim_Calendario"/>
            </x15:dbTables>
          </x15:oledbPr>
        </x15:connection>
      </ext>
    </extLst>
  </connection>
  <connection id="2" xr16:uid="{1AA5B85F-F647-41B3-9511-2D7AC5EFED5D}" name="Consulta - Dim_Clientes" description="Conexión a la consulta 'Dim_Clientes' en el libro." type="100" refreshedVersion="8" minRefreshableVersion="5">
    <extLst>
      <ext xmlns:x15="http://schemas.microsoft.com/office/spreadsheetml/2010/11/main" uri="{DE250136-89BD-433C-8126-D09CA5730AF9}">
        <x15:connection id="3d49b655-e78c-4814-aa31-6f0209327f4f">
          <x15:oledbPr connection="Provider=Microsoft.Mashup.OleDb.1;Data Source=$Workbook$;Location=Dim_Clientes;Extended Properties=&quot;&quot;">
            <x15:dbTables>
              <x15:dbTable name="Dim_Clientes"/>
            </x15:dbTables>
          </x15:oledbPr>
        </x15:connection>
      </ext>
    </extLst>
  </connection>
  <connection id="3" xr16:uid="{86AD27B3-F979-456F-822F-6E6417865C84}" name="Consulta - Dim_Productos" description="Conexión a la consulta 'Dim_Productos' en el libro." type="100" refreshedVersion="8" minRefreshableVersion="5">
    <extLst>
      <ext xmlns:x15="http://schemas.microsoft.com/office/spreadsheetml/2010/11/main" uri="{DE250136-89BD-433C-8126-D09CA5730AF9}">
        <x15:connection id="fab82802-14e2-47e6-83b7-c9ff6adf79a7">
          <x15:oledbPr connection="Provider=Microsoft.Mashup.OleDb.1;Data Source=$Workbook$;Location=Dim_Productos;Extended Properties=&quot;&quot;">
            <x15:dbTables>
              <x15:dbTable name="Dim_Productos"/>
            </x15:dbTables>
          </x15:oledbPr>
        </x15:connection>
      </ext>
    </extLst>
  </connection>
  <connection id="4" xr16:uid="{9E251899-33E2-41E2-A26D-AF7952988287}" name="Consulta - Fact_Transacciones" description="Conexión a la consulta 'Fact_Transacciones' en el libro." type="100" refreshedVersion="8" minRefreshableVersion="5">
    <extLst>
      <ext xmlns:x15="http://schemas.microsoft.com/office/spreadsheetml/2010/11/main" uri="{DE250136-89BD-433C-8126-D09CA5730AF9}">
        <x15:connection id="791e078d-9b65-47dc-a79d-fd4c06d6c31c"/>
      </ext>
    </extLst>
  </connection>
  <connection id="5" xr16:uid="{4B197751-DDBA-460F-B2A1-B30DCF81BE02}" keepAlive="1" name="ModelConnection_DatosExternos_1" description="Modelo de datos" type="5" refreshedVersion="8" minRefreshableVersion="5" saveData="1">
    <dbPr connection="Data Model Connection" command="Fact_Transacciones" commandType="3"/>
    <extLst>
      <ext xmlns:x15="http://schemas.microsoft.com/office/spreadsheetml/2010/11/main" uri="{DE250136-89BD-433C-8126-D09CA5730AF9}">
        <x15:connection id="" model="1"/>
      </ext>
    </extLst>
  </connection>
  <connection id="6" xr16:uid="{69F3BAEF-8532-4E1B-9D8D-AF700BB26ECD}" keepAlive="1" name="ModelConnection_DatosExternos_2" description="Modelo de datos" type="5" refreshedVersion="8" minRefreshableVersion="5" saveData="1">
    <dbPr connection="Data Model Connection" command="Dim_Clientes" commandType="3"/>
    <extLst>
      <ext xmlns:x15="http://schemas.microsoft.com/office/spreadsheetml/2010/11/main" uri="{DE250136-89BD-433C-8126-D09CA5730AF9}">
        <x15:connection id="" model="1"/>
      </ext>
    </extLst>
  </connection>
  <connection id="7" xr16:uid="{906673F1-20F2-4675-A823-497D0146BA8A}" keepAlive="1" name="ModelConnection_DatosExternos_3" description="Modelo de datos" type="5" refreshedVersion="8" minRefreshableVersion="5" saveData="1">
    <dbPr connection="Data Model Connection" command="Dim_Productos" commandType="3"/>
    <extLst>
      <ext xmlns:x15="http://schemas.microsoft.com/office/spreadsheetml/2010/11/main" uri="{DE250136-89BD-433C-8126-D09CA5730AF9}">
        <x15:connection id="" model="1"/>
      </ext>
    </extLst>
  </connection>
  <connection id="8" xr16:uid="{D5C02186-1BD3-4AE3-A620-F70E069930EC}" keepAlive="1" name="ModelConnection_DatosExternos_4" description="Modelo de datos" type="5" refreshedVersion="8" minRefreshableVersion="5" saveData="1">
    <dbPr connection="Data Model Connection" command="Dim_Calendario" commandType="3"/>
    <extLst>
      <ext xmlns:x15="http://schemas.microsoft.com/office/spreadsheetml/2010/11/main" uri="{DE250136-89BD-433C-8126-D09CA5730AF9}">
        <x15:connection id="" model="1"/>
      </ext>
    </extLst>
  </connection>
  <connection id="9" xr16:uid="{0C9A8681-7AC4-46BA-8934-1A2258318CD1}" keepAlive="1" name="ThisWorkbookDataModel" description="Modelo de datos"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<sst xmlns="http://schemas.openxmlformats.org/spreadsheetml/2006/main" count="4580" uniqueCount="1140">
  <si>
    <t>ID_Transaccion,Fecha,ID_Cliente,ID_Producto,Cantidad,Precio_Unitario,Costo_Unitario,Canal,Region,Costo_Envio,Tasa_Interes,Estado</t>
  </si>
  <si>
    <t>TRX-000001,24/11/2025,C004,P001,36,501.21,248.62,Online,Litoral,102.16,0.0661,Completada</t>
  </si>
  <si>
    <t>TRX-000002,17/02/2025,C007,P004,65,1115.47,708.56,Mayorista,Litoral,301.71,0.0675,Completada</t>
  </si>
  <si>
    <t>TRX-000003,04/01/2025,C025,P013,21,1280.8,720.17,Online,Norte,624.33,0.0618,Completada</t>
  </si>
  <si>
    <t>TRX-000004,14/07/2025,C004,P006,45,1118.41,801.18,Mayorista,Cuyo,371.74,0.0937,Pendiente</t>
  </si>
  <si>
    <t>TRX-000005,10/02/2025,C018,P005,80,1602.98,912.64,Online,Centro,77.49,0.0564,Completada</t>
  </si>
  <si>
    <t>TRX-000006,10/02/2025,C028,P004,13,733.82,440.02,Minorista,Norte,272.11,0.0555,Completada</t>
  </si>
  <si>
    <t>TRX-000007,26/12/2025,C030,P011,10,1127.71,571.16,Mayorista,Norte,148.04,0.064,Cancelada</t>
  </si>
  <si>
    <t>TRX-000008,23/04/2025,C022,P006,8,473.96,218.3,Minorista,Cuyo,210.64,0.0555,Cancelada</t>
  </si>
  <si>
    <t>TRX-000009,11/06/2025,C007,P011,64,760.49,571.74,Minorista,Norte,208.93,0.0573,Cancelada</t>
  </si>
  <si>
    <t>TRX-000010,03/10/2025,C009,P012,75,816.91,524.92,Minorista,Norte,648.4,0.0519,Pendiente</t>
  </si>
  <si>
    <t>TRX-000011,16/02/2025,C025,P001,15,342.89,172.4,Mayorista,Cuyo,407.85,0.0642,Cancelada</t>
  </si>
  <si>
    <t>TRX-000012,28/08/2025,C017,P005,71,1560.54,708.16,Mayorista,Centro,459.03,0.0718,Completada</t>
  </si>
  <si>
    <t>TRX-000013,25/11/2025,C011,P002,38,827.8,496.46,Mayorista,Sur,633.13,0.0831,Cancelada</t>
  </si>
  <si>
    <t>TRX-000014,24/02/2025,C028,P011,39,1527.67,943.38,Online,Norte,274.35,0.0531,Cancelada</t>
  </si>
  <si>
    <t>TRX-000015,01/01/2025,C020,P006,63,113.5,85.87,Minorista,Norte,84.76,0.0889,Completada</t>
  </si>
  <si>
    <t>TRX-000016,13/02/2025,C024,P008,9,1762.13,1102.73,Online,Norte,445.85,0.0923,Completada</t>
  </si>
  <si>
    <t>TRX-000017,16/05/2025,C017,P014,78,807.8,419.97,Mayorista,Norte,477.77,0.0649,Completada</t>
  </si>
  <si>
    <t>TRX-000018,13/08/2025,C029,P009,58,288.13,151.02,Minorista,Centro,402.99,0.0565,Completada</t>
  </si>
  <si>
    <t>TRX-000019,04/01/2025,C003,P012,8,473.78,354.76,Minorista,Centro,358.49,0.0589,Pendiente</t>
  </si>
  <si>
    <t>TRX-000020,20/04/2025,C018,P003,74,1071.08,567.87,Minorista,Cuyo,164.25,0.0498,Pendiente</t>
  </si>
  <si>
    <t>TRX-000021,01/07/2025,C014,P007,60,1565.8,732.6,Mayorista,Centro,86.37,0.0814,Completada</t>
  </si>
  <si>
    <t>TRX-000022,08/05/2025,C007,P004,69,851.62,501.79,Minorista,Cuyo,199.88,0.0912,Pendiente</t>
  </si>
  <si>
    <t>TRX-000023,09/10/2025,C004,P001,70,1517.97,1168.49,Online,Norte,293.85,0.0691,Pendiente</t>
  </si>
  <si>
    <t>TRX-000024,31/01/2025,C006,P007,1,1774.73,953.95,Minorista,Sur,303.8,0.0929,Cancelada</t>
  </si>
  <si>
    <t>TRX-000025,05/12/2025,C023,P008,20,406.62,212.19,Online,Litoral,491.44,0.048,Completada</t>
  </si>
  <si>
    <t>TRX-000026,30/01/2025,C002,P010,62,944.9,691.1,Online,Centro,626.47,0.049,Completada</t>
  </si>
  <si>
    <t>TRX-000027,05/02/2025,C020,P002,31,774.49,589.18,Mayorista,Norte,397.35,0.047,Completada</t>
  </si>
  <si>
    <t>TRX-000028,03/08/2025,C022,P010,73,979.19,742.67,Online,Sur,193.21,0.0648,Completada</t>
  </si>
  <si>
    <t>TRX-000029,23/08/2025,C011,P015,10,96.02,62.89,Mayorista,Centro,93.96,0.0557,Completada</t>
  </si>
  <si>
    <t>TRX-000030,09/03/2025,C030,P006,9,1592.34,910.73,Online,Cuyo,550.25,0.0802,Cancelada</t>
  </si>
  <si>
    <t>TRX-000031,01/12/2025,C017,P001,71,594.93,397.96,Online,Sur,119.26,0.0504,Cancelada</t>
  </si>
  <si>
    <t>TRX-000032,21/03/2025,C009,P005,78,442.28,249.07,Mayorista,Sur,353.25,0.0576,Completada</t>
  </si>
  <si>
    <t>TRX-000033,17/02/2025,C021,P007,36,155.83,87.28,Online,Sur,146.95,0.0671,Pendiente</t>
  </si>
  <si>
    <t>TRX-000034,15/10/2025,C001,P002,10,1705.49,1156.38,Online,Litoral,71.62,0.0635,Cancelada</t>
  </si>
  <si>
    <t>TRX-000035,17/03/2025,C014,P003,6,610.2,455.61,Online,Sur,176.05,0.0575,Completada</t>
  </si>
  <si>
    <t>TRX-000036,01/07/2025,C025,P009,53,1755.0,1223.81,Online,Norte,635.72,0.0855,Pendiente</t>
  </si>
  <si>
    <t>TRX-000037,13/01/2025,C006,P012,43,1425.7,835.27,Mayorista,,210.08,0.0844,Completada</t>
  </si>
  <si>
    <t>TRX-000038,15/07/2025,C028,P001,61,462.59,332.82,Minorista,Sur,233.11,0.0848,Completada</t>
  </si>
  <si>
    <t>TRX-000039,25/04/2025,C001,P011,25,765.36,414.78,Online,Sur,260.69,0.0705,Cancelada</t>
  </si>
  <si>
    <t>TRX-000040,19/06/2025,C001,P002,34,387.14,297.18,Minorista,Centro,115.04,0.0667,Completada</t>
  </si>
  <si>
    <t>TRX-000041,12/08/2025,C020,P009,15,742.54,475.43,Minorista,Centro,475.27,0.0451,Cancelada</t>
  </si>
  <si>
    <t>TRX-000042,18/12/2025,C024,P012,26,706.46,334.22,Mayorista,Sur,423.89,0.0782,Completada</t>
  </si>
  <si>
    <t>TRX-000043,03/06/2025,C017,P005,53,641.03,435.95,Mayorista,Norte,165.1,0.0782,Pendiente</t>
  </si>
  <si>
    <t>TRX-000044,13/12/2025,C024,P015,23,1138.69,625.5,Mayorista,Centro,232.32,0.0555,Cancelada</t>
  </si>
  <si>
    <t>TRX-000045,07/11/2025,C021,P006,60,839.87,565.2,Mayorista,Cuyo,526.24,0.093,Completada</t>
  </si>
  <si>
    <t>TRX-000046,04/12/2025,C003,P005,66,1221.83,799.51,Online,Norte,453.68,0.0562,Completada</t>
  </si>
  <si>
    <t>TRX-000047,17/03/2025,C001,P001,32,1772.37,1155.09,Online,Cuyo,298.66,0.0765,Completada</t>
  </si>
  <si>
    <t>TRX-000048,23/12/2025,C013,P008,52,499.65,333.02,Online,Centro,517.05,0.0559,Cancelada</t>
  </si>
  <si>
    <t>TRX-000049,26/08/2025,C002,P009,32,1658.05,812.52,Online,Cuyo,450.55,0.0944,Cancelada</t>
  </si>
  <si>
    <t>TRX-000050,12/06/2025,C025,P015,57,1133.76,779.3,Mayorista,Cuyo,548.34,0.0724,Completada</t>
  </si>
  <si>
    <t>TRX-000051,01/09/2025,C015,P005,32,1524.56,825.57,Mayorista,Cuyo,426.05,0.0587,Completada</t>
  </si>
  <si>
    <t>TRX-000052,27/05/2025,C008,P005,43,629.9,395.73,Online,Norte,188.76,0.0797,Completada</t>
  </si>
  <si>
    <t>TRX-000053,02/02/2025,C014,P007,43,1013.29,595.01,Online,Cuyo,283.69,0.0835,Completada</t>
  </si>
  <si>
    <t>TRX-000054,22/10/2025,C013,P008,1,1701.52,933.36,Minorista,Cuyo,372.93,0.0817,Cancelada</t>
  </si>
  <si>
    <t>TRX-000055,23/04/2025,C016,P004,35,829.64,381.28,Minorista,Cuyo,484.51,0.087,Completada</t>
  </si>
  <si>
    <t>TRX-000056,15/11/2025,C018,P001,51,1098.06,734.37,Online,Cuyo,131.42,0.0681,Completada</t>
  </si>
  <si>
    <t>TRX-000057,14/05/2025,C013,P006,28,862.08,483.95,Minorista,Sur,501.21,0.0866,Completada</t>
  </si>
  <si>
    <t>TRX-000058,11/02/2025,C016,P001,70,169.59,129.59,Online,Centro,518.74,0.0776,Completada</t>
  </si>
  <si>
    <t>TRX-000059,07/05/2025,C007,P014,3,1148.7,607.34,Minorista,Centro,388.38,0.0559,Completada</t>
  </si>
  <si>
    <t>TRX-000060,08/07/2025,C006,P010,78,1737.62,1193.85,Online,Sur,114.86,0.0463,Completada</t>
  </si>
  <si>
    <t>TRX-000061,22/10/2025,C022,P015,49,762.25,522.87,Online,Litoral,464.37,0.0764,Completada</t>
  </si>
  <si>
    <t>TRX-000062,23/12/2025,C025,P005,77,1465.51,1044.55,Mayorista,Centro,258.32,0.0664,Completada</t>
  </si>
  <si>
    <t>TRX-000063,05/02/2025,C017,P011,44,101.76,59.9,Minorista,Centro,310.11,0.0631,Pendiente</t>
  </si>
  <si>
    <t>TRX-000064,29/12/2025,C005,P007,23,1342.13,1031.57,Minorista,Litoral,534.92,0.0719,Pendiente</t>
  </si>
  <si>
    <t>TRX-000065,27/08/2025,C014,P014,76,541.64,395.97,Online,Sur,578.98,0.0572,Pendiente</t>
  </si>
  <si>
    <t>TRX-000066,19/10/2025,C020,P011,49,658.6,403.8,Minorista,Norte,342.53,0.0627,Completada</t>
  </si>
  <si>
    <t>TRX-000067,24/06/2025,C009,P015,77,1286.04,695.96,Online,Litoral,618.84,0.0493,Pendiente</t>
  </si>
  <si>
    <t>TRX-000068,08/09/2025,C018,P013,31,1267.85,840.77,Minorista,Cuyo,525.76,0.0497,Completada</t>
  </si>
  <si>
    <t>TRX-000069,27/07/2025,C023,P004,40,1222.01,698.72,Mayorista,Litoral,256.25,0.0948,Cancelada</t>
  </si>
  <si>
    <t>TRX-000070,19/06/2025,C012,P012,59,545.98,290.99,Online,Norte,239.33,0.0821,Completada</t>
  </si>
  <si>
    <t>TRX-000071,09/04/2025,C007,P012,62,555.58,358.11,Mayorista,Litoral,219.8,0.05,Completada</t>
  </si>
  <si>
    <t>TRX-000072,01/06/2025,C008,P006,23,599.9,410.12,Online,Sur,77.31,0.0477,Completada</t>
  </si>
  <si>
    <t>TRX-000073,24/12/2025,C005,P011,63,256.45,116.44,Minorista,Cuyo,337.23,0.062,Completada</t>
  </si>
  <si>
    <t>TRX-000074,10/05/2025,C028,P008,15,1494.04,,Online,Litoral,427.67,0.0477,Completada</t>
  </si>
  <si>
    <t>TRX-000075,16/10/2025,C010,P002,32,283.74,199.26,Mayorista,Litoral,524.44,0.0563,Cancelada</t>
  </si>
  <si>
    <t>TRX-000076,14/07/2025,C015,P015,57,591.45,381.02,Minorista,Sur,391.18,0.048,Completada</t>
  </si>
  <si>
    <t>TRX-000077,17/04/2025,C021,P004,34,1215.94,610.19,Online,Litoral,95.04,0.0451,Pendiente</t>
  </si>
  <si>
    <t>TRX-000078,19/12/2025,C020,P008,38,136.14,74.21,Minorista,Cuyo,92.71,0.0567,Completada</t>
  </si>
  <si>
    <t>TRX-000079,17/11/2025,C019,P011,26,811.24,510.84,Mayorista,Norte,595.05,0.0863,Completada</t>
  </si>
  <si>
    <t>TRX-000080,31/01/2025,C006,P013,40,1103.48,796.71,Minorista,Cuyo,124.61,0.0794,Pendiente</t>
  </si>
  <si>
    <t>TRX-000081,20/05/2025,C017,P009,64,832.95,539.21,Minorista,Sur,412.23,0.0463,Completada</t>
  </si>
  <si>
    <t>TRX-000082,12/12/2025,C027,P014,74,1089.85,497.89,Mayorista,Sur,395.75,0.0832,Completada</t>
  </si>
  <si>
    <t>TRX-000083,29/08/2025,C017,P011,57,1655.65,844.2,Mayorista,Cuyo,430.87,0.0696,Completada</t>
  </si>
  <si>
    <t>TRX-000084,29/08/2025,C012,P007,43,632.22,306.32,Online,Sur,296.99,0.0698,Pendiente</t>
  </si>
  <si>
    <t>TRX-000085,09/10/2025,C002,P008,12,620.97,345.68,Minorista,Litoral,544.96,0.0451,Cancelada</t>
  </si>
  <si>
    <t>TRX-000086,25/08/2025,C014,P001,25,971.72,636.93,Minorista,Cuyo,505.99,0.0552,Cancelada</t>
  </si>
  <si>
    <t>TRX-000087,09/03/2025,C030,P005,57,1595.06,972.91,Online,Litoral,529.59,0.0805,Completada</t>
  </si>
  <si>
    <t>TRX-000088,10/10/2025,C001,P009,53,240.32,186.84,Online,Cuyo,618.24,0.0774,Completada</t>
  </si>
  <si>
    <t>TRX-000089,13/09/2025,C030,P012,38,955.26,516.06,Minorista,Cuyo,196.24,0.0726,Pendiente</t>
  </si>
  <si>
    <t>TRX-000090,08/04/2025,C030,P010,66,1363.62,675.06,Online,Sur,513.61,0.0877,Completada</t>
  </si>
  <si>
    <t>TRX-000091,17/09/2025,C009,P014,1,566.48,310.73,Mayorista,Litoral,649.34,0.0695,Completada</t>
  </si>
  <si>
    <t>TRX-000092,17/08/2025,C018,P008,45,651.8,457.4,Minorista,Cuyo,609.71,0.0885,Completada</t>
  </si>
  <si>
    <t>TRX-000093,20/10/2025,C013,P004,53,155.07,107.89,Mayorista,Cuyo,281.65,0.0782,Completada</t>
  </si>
  <si>
    <t>TRX-000094,11/09/2025,C002,P003,65,1740.41,973.86,Online,Cuyo,109.83,0.0905,Completada</t>
  </si>
  <si>
    <t>TRX-000095,15/03/2025,C014,P014,20,208.7,147.74,Minorista,Sur,423.96,0.0649,Completada</t>
  </si>
  <si>
    <t>TRX-000096,18/06/2025,C028,P011,69,733.62,406.79,Mayorista,Cuyo,573.43,0.0468,Completada</t>
  </si>
  <si>
    <t>TRX-000097,01/05/2025,C021,P011,37,1795.57,1250.49,Minorista,Centro,506.22,0.0802,Completada</t>
  </si>
  <si>
    <t>TRX-000098,16/08/2025,C006,P012,39,1633.89,760.05,Online,Sur,265.08,0.0665,Completada</t>
  </si>
  <si>
    <t>TRX-000099,29/09/2025,C014,P010,24,372.37,177.27,Minorista,Litoral,459.88,0.0699,Cancelada</t>
  </si>
  <si>
    <t>TRX-000100,15/03/2025,C008,P008,33,870.46,583.26,Minorista,Sur,456.57,0.0529,Pendiente</t>
  </si>
  <si>
    <t>TRX-000101,26/06/2025,C019,P005,55,1267.34,761.36,Minorista,Norte,649.62,0.0877,Completada</t>
  </si>
  <si>
    <t>TRX-000102,02/05/2025,C013,P010,46,1068.68,830.99,Minorista,Centro,636.77,0.0779,Completada</t>
  </si>
  <si>
    <t>TRX-000103,05/01/2025,C019,P014,7,1646.26,1145.64,Minorista,Norte,414.24,0.0626,Completada</t>
  </si>
  <si>
    <t>TRX-000104,14/11/2025,C009,P011,18,1160.59,868.26,Mayorista,Centro,235.36,0.067,Cancelada</t>
  </si>
  <si>
    <t>TRX-000105,06/07/2025,C024,P003,12,1644.56,917.36,Minorista,Norte,170.48,0.0843,Completada</t>
  </si>
  <si>
    <t>TRX-000106,29/09/2025,C017,P015,35,1508.41,806.7,Minorista,Sur,497.94,0.0619,Completada</t>
  </si>
  <si>
    <t>TRX-000107,28/08/2025,C003,P003,29,1559.44,1074.44,Minorista,Litoral,269.47,0.0845,Completada</t>
  </si>
  <si>
    <t>TRX-000108,16/05/2025,C018,P002,59,713.97,497.76,Minorista,Litoral,278.62,0.0769,Completada</t>
  </si>
  <si>
    <t>TRX-000109,25/02/2025,C022,P004,61,123.04,91.27,Mayorista,Sur,599.15,0.0561,Completada</t>
  </si>
  <si>
    <t>TRX-000110,22/11/2025,C027,P008,39,1196.69,584.59,Online,Centro,232.62,0.0696,Completada</t>
  </si>
  <si>
    <t>TRX-000111,01/05/2025,C029,P009,18,748.47,428.45,Mayorista,Litoral,301.48,0.0821,Completada</t>
  </si>
  <si>
    <t>TRX-000112,01/08/2025,C021,P002,63,1138.92,865.45,Minorista,Centro,464.17,0.0559,Pendiente</t>
  </si>
  <si>
    <t>TRX-000113,01/05/2025,C028,P006,13,1767.2,1009.46,Mayorista,Sur,86.33,0.0588,Completada</t>
  </si>
  <si>
    <t>TRX-000114,21/08/2025,C003,P011,28,1183.73,765.94,Online,Centro,522.08,0.0572,Completada</t>
  </si>
  <si>
    <t>TRX-000115,17/10/2025,C007,P002,71,436.31,227.43,Online,Sur,514.62,0.0844,Cancelada</t>
  </si>
  <si>
    <t>TRX-000116,02/01/2025,C009,P014,19,1778.55,1117.41,Online,Centro,446.63,0.0463,Completada</t>
  </si>
  <si>
    <t>TRX-000117,03/07/2025,C026,P013,31,1092.83,497.46,Minorista,Centro,126.06,0.066,Completada</t>
  </si>
  <si>
    <t>TRX-000118,02/02/2025,C016,P008,47,962.77,467.89,Mayorista,,617.25,0.0472,Cancelada</t>
  </si>
  <si>
    <t>TRX-000119,04/06/2025,C015,P011,4,184.62,112.26,Minorista,Cuyo,461.66,0.0695,Pendiente</t>
  </si>
  <si>
    <t>TRX-000120,07/02/2025,C029,P002,42,1126.27,531.23,Minorista,Litoral,429.85,0.0724,Completada</t>
  </si>
  <si>
    <t>TRX-000121,15/07/2025,C020,P009,38,860.39,559.07,Online,Centro,561.68,0.0775,Cancelada</t>
  </si>
  <si>
    <t>TRX-000122,21/04/2025,C014,P008,30,791.76,572.48,Minorista,Cuyo,487.77,0.0606,Completada</t>
  </si>
  <si>
    <t>TRX-000123,07/12/2025,C009,P006,20,1261.33,765.01,Online,Centro,105.94,0.0498,Completada</t>
  </si>
  <si>
    <t>TRX-000124,08/03/2025,C018,P001,76,1725.39,1096.24,Mayorista,Centro,296.49,0.0887,Pendiente</t>
  </si>
  <si>
    <t>TRX-000125,27/01/2025,C010,P010,40,684.83,438.78,Online,Norte,444.04,0.0562,Completada</t>
  </si>
  <si>
    <t>TRX-000126,29/06/2025,C028,P009,48,277.6,150.44,Online,Cuyo,557.09,0.0937,Cancelada</t>
  </si>
  <si>
    <t>TRX-000127,11/11/2025,C022,P011,72,125.16,94.7,Mayorista,Sur,67.37,0.0587,Completada</t>
  </si>
  <si>
    <t>TRX-000128,23/06/2025,C012,P001,24,1576.16,1003.83,Minorista,Centro,135.12,0.0767,Completada</t>
  </si>
  <si>
    <t>TRX-000129,16/02/2025,C024,P009,28,727.05,436.01,Online,Sur,236.98,0.0612,Cancelada</t>
  </si>
  <si>
    <t>TRX-000130,02/11/2025,C003,P015,7,347.6,242.96,Online,Centro,213.26,0.0781,Pendiente</t>
  </si>
  <si>
    <t>TRX-000131,07/11/2025,C015,P007,35,450.78,279.07,Minorista,Cuyo,116.53,0.0789,Cancelada</t>
  </si>
  <si>
    <t>TRX-000132,07/09/2025,C017,P011,40,158.12,91.78,Mayorista,Centro,54.61,0.0601,Completada</t>
  </si>
  <si>
    <t>TRX-000133,12/03/2025,C025,P005,38,644.37,291.61,Mayorista,Cuyo,155.42,0.064,Completada</t>
  </si>
  <si>
    <t>TRX-000134,14/09/2025,C018,P014,46,203.97,149.79,Online,Cuyo,61.24,0.0911,Completada</t>
  </si>
  <si>
    <t>TRX-000135,22/10/2025,C014,P010,52,1300.34,764.39,Online,Cuyo,62.51,0.0612,Cancelada</t>
  </si>
  <si>
    <t>TRX-000136,24/08/2025,C027,P012,47,231.58,168.75,Online,Cuyo,403.32,0.0712,Pendiente</t>
  </si>
  <si>
    <t>TRX-000137,08/06/2025,C024,P006,29,652.88,330.02,Mayorista,Centro,368.36,0.0547,Completada</t>
  </si>
  <si>
    <t>TRX-000138,29/06/2025,C024,P014,19,486.38,242.38,Online,Norte,411.44,0.083,Completada</t>
  </si>
  <si>
    <t>TRX-000139,01/04/2025,C025,P011,64,878.0,558.44,Mayorista,Cuyo,458.68,0.0891,Cancelada</t>
  </si>
  <si>
    <t>TRX-000140,15/06/2025,C028,P011,41,339.65,160.5,Minorista,Sur,527.8,0.0746,Completada</t>
  </si>
  <si>
    <t>TRX-000141,17/09/2025,C003,P005,60,857.29,401.88,Minorista,Centro,436.8,0.0939,Completada</t>
  </si>
  <si>
    <t>TRX-000142,11/11/2025,C020,P009,50,875.86,554.35,Mayorista,Centro,319.84,0.0855,Completada</t>
  </si>
  <si>
    <t>TRX-000143,14/06/2025,C020,P008,65,339.48,159.7,Online,Sur,639.43,0.0492,Completada</t>
  </si>
  <si>
    <t>TRX-000144,21/01/2025,C008,P012,57,1784.5,1111.64,Mayorista,Norte,268.34,0.0909,Pendiente</t>
  </si>
  <si>
    <t>TRX-000145,29/07/2025,C025,P006,77,170.07,111.94,Minorista,Centro,247.81,0.0729,Pendiente</t>
  </si>
  <si>
    <t>TRX-000146,26/05/2025,C009,P012,78,1582.04,885.96,Mayorista,Norte,600.05,0.0605,Pendiente</t>
  </si>
  <si>
    <t>TRX-000147,08/03/2025,C020,P012,11,612.48,351.75,Minorista,Norte,452.07,0.0864,Cancelada</t>
  </si>
  <si>
    <t>TRX-000148,17/02/2025,C021,P011,55,954.6,435.31,Minorista,Norte,620.7,0.0621,Pendiente</t>
  </si>
  <si>
    <t>TRX-000149,09/04/2025,C008,P003,20,212.72,155.0,Online,Litoral,512.52,0.0868,Cancelada</t>
  </si>
  <si>
    <t>TRX-000150,20/01/2025,C022,P006,80,305.4,175.4,Online,Norte,548.81,0.0836,Completada</t>
  </si>
  <si>
    <t>TRX-000151,13/08/2025,C002,P007,47,1243.34,656.96,Minorista,Litoral,220.96,0.0824,Pendiente</t>
  </si>
  <si>
    <t>TRX-000152,30/04/2025,C018,P004,40,1740.83,1233.97,Online,Sur,456.98,0.0735,Pendiente</t>
  </si>
  <si>
    <t>TRX-000153,25/08/2025,C025,P005,49,945.0,555.81,Online,Norte,530.76,0.0519,Completada</t>
  </si>
  <si>
    <t>TRX-000154,27/01/2025,C021,P008,48,1033.81,500.21,Mayorista,Centro,221.04,0.0832,Completada</t>
  </si>
  <si>
    <t>TRX-000155,19/08/2025,C029,P009,19,1509.4,724.91,Online,Cuyo,580.78,0.0915,Pendiente</t>
  </si>
  <si>
    <t>TRX-000156,28/01/2025,C013,P009,48,485.54,377.84,Minorista,Norte,,0.0915,Completada</t>
  </si>
  <si>
    <t>TRX-000157,16/03/2025,C005,P001,37,1657.92,1004.55,Online,Cuyo,319.16,0.0453,Completada</t>
  </si>
  <si>
    <t>TRX-000158,10/01/2025,C009,P004,20,1023.94,706.51,Mayorista,Cuyo,116.71,0.0594,Completada</t>
  </si>
  <si>
    <t>TRX-000159,04/03/2025,C002,P004,54,1179.0,772.87,Online,Centro,552.01,0.07,Cancelada</t>
  </si>
  <si>
    <t>TRX-000160,09/01/2025,C021,P009,74,496.13,246.77,Minorista,Centro,418.89,0.057,Pendiente</t>
  </si>
  <si>
    <t>TRX-000161,06/04/2025,C022,P011,11,980.39,557.84,Mayorista,Litoral,354.4,0.0944,Cancelada</t>
  </si>
  <si>
    <t>TRX-000162,11/01/2025,C013,P014,61,154.88,89.47,Minorista,Sur,498.39,0.0629,Completada</t>
  </si>
  <si>
    <t>TRX-000163,26/06/2025,C008,P012,14,1406.98,974.49,Minorista,Norte,76.6,0.0723,Completada</t>
  </si>
  <si>
    <t>TRX-000164,17/12/2025,C015,P012,62,1166.59,837.37,Online,Cuyo,72.19,0.0551,Completada</t>
  </si>
  <si>
    <t>TRX-000165,22/01/2025,C011,P015,40,966.46,750.37,Mayorista,Cuyo,201.99,0.0827,Completada</t>
  </si>
  <si>
    <t>TRX-000166,27/05/2025,C012,P014,7,1569.17,878.01,Online,Sur,312.17,0.065,Pendiente</t>
  </si>
  <si>
    <t>TRX-000167,17/07/2025,C011,P003,64,1270.36,725.66,Mayorista,Sur,530.69,0.0814,Completada</t>
  </si>
  <si>
    <t>TRX-000168,09/08/2025,C020,P014,24,1018.22,566.13,Online,Sur,446.55,0.0603,Cancelada</t>
  </si>
  <si>
    <t>TRX-000169,07/08/2025,C006,P012,57,684.66,317.67,Minorista,Litoral,648.89,0.0587,Completada</t>
  </si>
  <si>
    <t>TRX-000170,08/02/2025,C022,P011,52,704.9,503.55,Mayorista,Norte,621.67,0.0521,Cancelada</t>
  </si>
  <si>
    <t>TRX-000171,14/12/2025,C026,P008,5,297.12,156.84,Mayorista,Sur,267.29,0.0925,Completada</t>
  </si>
  <si>
    <t>TRX-000172,06/11/2025,C005,P011,58,1711.98,980.56,Online,Litoral,132.62,0.0633,Completada</t>
  </si>
  <si>
    <t>TRX-000173,29/11/2025,C009,P004,15,124.57,63.7,Mayorista,Cuyo,598.13,0.0509,Completada</t>
  </si>
  <si>
    <t>TRX-000174,27/12/2025,C015,P004,79,571.19,429.79,Minorista,Norte,123.58,0.0876,Pendiente</t>
  </si>
  <si>
    <t>TRX-000175,30/03/2025,C029,P012,57,1795.29,1288.07,Minorista,Sur,475.72,0.0725,Completada</t>
  </si>
  <si>
    <t>TRX-000176,03/06/2025,C028,P003,23,1445.16,892.95,Online,Norte,525.24,0.0568,Pendiente</t>
  </si>
  <si>
    <t>TRX-000177,14/01/2025,C012,P009,74,714.53,511.04,Mayorista,Norte,417.17,0.0493,Completada</t>
  </si>
  <si>
    <t>TRX-000178,23/07/2025,C023,P012,62,984.2,692.7,Mayorista,Centro,125.2,0.0609,Completada</t>
  </si>
  <si>
    <t>TRX-000179,19/08/2025,C015,P011,67,672.57,497.52,Mayorista,Litoral,159.18,0.0933,Pendiente</t>
  </si>
  <si>
    <t>TRX-000180,15/09/2025,C030,P014,8,1509.99,937.66,Minorista,Norte,147.18,0.0917,Completada</t>
  </si>
  <si>
    <t>TRX-000181,27/06/2025,C017,P015,37,1535.01,817.7,Mayorista,Litoral,214.67,0.0763,Cancelada</t>
  </si>
  <si>
    <t>TRX-000182,01/10/2025,C003,P009,22,1097.91,704.43,Online,Litoral,482.38,0.0753,Cancelada</t>
  </si>
  <si>
    <t>TRX-000183,22/01/2025,C027,P014,4,219.7,167.64,Mayorista,Sur,440.68,0.0833,Pendiente</t>
  </si>
  <si>
    <t>TRX-000184,13/11/2025,C021,P001,64,1609.07,1013.78,Mayorista,Sur,339.77,0.0852,Pendiente</t>
  </si>
  <si>
    <t>TRX-000185,02/06/2025,C015,P002,8,351.9,206.62,Minorista,Norte,254.12,0.0522,Completada</t>
  </si>
  <si>
    <t>TRX-000186,26/06/2025,C013,P003,48,965.77,468.44,Online,Cuyo,123.51,0.0675,Completada</t>
  </si>
  <si>
    <t>TRX-000187,19/02/2025,C002,P005,50,1566.36,921.0,Online,Sur,610.25,0.0811,Completada</t>
  </si>
  <si>
    <t>TRX-000188,23/03/2025,C016,P009,60,937.87,517.53,Online,Centro,617.14,0.0703,Completada</t>
  </si>
  <si>
    <t>TRX-000189,21/04/2025,C019,P006,7,166.93,102.38,Mayorista,Cuyo,221.45,0.0454,Completada</t>
  </si>
  <si>
    <t>TRX-000190,09/08/2025,C005,P015,34,1331.31,934.68,Minorista,Centro,290.35,0.0735,Completada</t>
  </si>
  <si>
    <t>TRX-000191,05/07/2025,C018,P005,10,744.52,445.68,Mayorista,Sur,545.19,0.0762,Cancelada</t>
  </si>
  <si>
    <t>TRX-000192,02/03/2025,C005,P002,51,721.9,559.93,Mayorista,Sur,502.98,0.055,Cancelada</t>
  </si>
  <si>
    <t>TRX-000193,25/07/2025,C017,P001,6,146.93,100.72,Minorista,Litoral,324.19,0.0753,Cancelada</t>
  </si>
  <si>
    <t>TRX-000194,13/03/2025,C011,P015,79,627.87,363.96,Mayorista,Sur,406.23,0.0704,Cancelada</t>
  </si>
  <si>
    <t>TRX-000195,30/09/2025,C016,P012,73,595.64,428.38,Minorista,Sur,454.28,0.094,Cancelada</t>
  </si>
  <si>
    <t>TRX-000196,07/06/2025,C026,P015,4,1106.68,594.98,Mayorista,Litoral,396.58,0.0811,Cancelada</t>
  </si>
  <si>
    <t>TRX-000197,03/09/2025,C006,P009,80,1412.32,812.74,Mayorista,Norte,68.94,0.0924,Completada</t>
  </si>
  <si>
    <t>TRX-000198,08/04/2025,C001,P008,41,800.3,469.2,Online,Cuyo,351.09,0.0756,Pendiente</t>
  </si>
  <si>
    <t>TRX-000199,01/02/2025,C023,P003,67,436.63,243.32,Mayorista,Cuyo,365.29,0.0607,Completada</t>
  </si>
  <si>
    <t>TRX-000200,24/08/2025,C030,P009,44,1019.59,686.22,Mayorista,Sur,416.05,0.0546,Completada</t>
  </si>
  <si>
    <t>TRX-000201,23/05/2025,C018,P005,29,1699.36,1315.55,Minorista,Norte,464.14,0.0695,Pendiente</t>
  </si>
  <si>
    <t>TRX-000202,28/06/2025,C018,P015,36,575.0,367.57,Mayorista,Cuyo,587.46,0.0647,Completada</t>
  </si>
  <si>
    <t>TRX-000203,16/03/2025,C010,P001,37,1723.14,820.35,Minorista,Sur,498.4,0.0557,Cancelada</t>
  </si>
  <si>
    <t>TRX-000204,19/05/2025,C030,P009,35,316.11,206.47,Mayorista,Norte,195.47,0.0785,Cancelada</t>
  </si>
  <si>
    <t>TRX-000205,26/04/2025,C021,P004,7,252.34,141.06,Minorista,Centro,458.72,0.0519,Cancelada</t>
  </si>
  <si>
    <t>TRX-000206,22/03/2025,C014,P011,61,901.21,464.86,Minorista,Sur,221.25,0.048,Completada</t>
  </si>
  <si>
    <t>TRX-000207,30/11/2025,C019,P004,69,1350.54,986.72,Online,Norte,300.73,0.0869,Completada</t>
  </si>
  <si>
    <t>TRX-000208,23/07/2025,C026,P008,24,1690.97,1297.83,Minorista,Centro,55.56,0.0734,Completada</t>
  </si>
  <si>
    <t>TRX-000209,21/06/2025,C010,P008,70,981.83,729.95,Online,Litoral,330.81,0.0546,Completada</t>
  </si>
  <si>
    <t>TRX-000210,19/06/2025,C006,P012,59,1195.05,821.16,Online,Sur,524.46,0.0734,Completada</t>
  </si>
  <si>
    <t>TRX-000211,31/03/2025,C020,P014,52,1502.42,931.56,Online,Cuyo,451.55,0.0542,Completada</t>
  </si>
  <si>
    <t>TRX-000212,02/09/2025,C011,P015,32,91.75,52.9,Minorista,Sur,622.42,0.0601,Cancelada</t>
  </si>
  <si>
    <t>TRX-000213,06/01/2025,C009,P011,47,1271.56,598.27,Online,Cuyo,234.08,0.0653,Cancelada</t>
  </si>
  <si>
    <t>TRX-000214,27/12/2025,C025,P005,16,1178.58,896.2,Minorista,Litoral,182.51,0.0929,Pendiente</t>
  </si>
  <si>
    <t>TRX-000215,20/03/2025,C015,P012,78,722.63,492.57,Minorista,Litoral,531.2,0.0863,Completada</t>
  </si>
  <si>
    <t>TRX-000216,15/12/2025,C025,P010,11,983.87,614.23,Minorista,Centro,600.35,0.0506,Cancelada</t>
  </si>
  <si>
    <t>TRX-000217,16/09/2025,C007,P010,69,337.75,188.56,Mayorista,Cuyo,119.74,0.0553,Cancelada</t>
  </si>
  <si>
    <t>TRX-000218,08/09/2025,C003,P015,66,846.23,396.34,Online,Litoral,299.25,0.0732,Cancelada</t>
  </si>
  <si>
    <t>TRX-000219,25/08/2025,C022,P013,40,1324.04,768.82,Online,Norte,396.99,0.0473,Completada</t>
  </si>
  <si>
    <t>TRX-000220,25/12/2025,C003,P009,8,1687.48,797.8,Minorista,Centro,222.25,0.054,Completada</t>
  </si>
  <si>
    <t>TRX-000221,25/11/2025,C024,P011,54,724.07,538.81,Minorista,Cuyo,275.39,0.0791,Cancelada</t>
  </si>
  <si>
    <t>TRX-000222,10/03/2025,C021,P014,45,284.05,220.89,Minorista,Litoral,126.41,0.0939,Completada</t>
  </si>
  <si>
    <t>TRX-000223,12/01/2025,C010,P008,70,809.5,465.59,Online,Norte,326.38,0.0528,Completada</t>
  </si>
  <si>
    <t>TRX-000224,27/02/2025,C002,P013,54,1137.67,863.44,Online,Norte,173.65,0.05,Completada</t>
  </si>
  <si>
    <t>TRX-000225,17/08/2025,C020,P011,7,500.94,232.74,Minorista,Norte,373.86,0.0827,Completada</t>
  </si>
  <si>
    <t>TRX-000226,13/03/2025,C017,P005,30,1483.15,1025.45,Minorista,Litoral,408.75,0.0786,Completada</t>
  </si>
  <si>
    <t>TRX-000227,02/05/2025,C010,P015,19,1775.4,1104.32,Minorista,Sur,215.09,0.0728,Cancelada</t>
  </si>
  <si>
    <t>TRX-000228,31/03/2025,C021,P011,55,1036.06,482.26,Minorista,Cuyo,521.48,0.0609,Pendiente</t>
  </si>
  <si>
    <t>TRX-000229,29/07/2025,C005,P005,49,396.27,248.67,Online,Norte,230.44,0.0804,Pendiente</t>
  </si>
  <si>
    <t>TRX-000230,30/01/2025,C018,P007,54,1038.53,513.29,Online,Sur,172.0,0.0773,Pendiente</t>
  </si>
  <si>
    <t>TRX-000231,09/07/2025,C003,P009,25,168.64,96.88,Mayorista,Litoral,73.73,0.0486,Cancelada</t>
  </si>
  <si>
    <t>TRX-000232,10/12/2025,C018,P004,62,439.29,329.17,Minorista,Centro,177.08,0.0545,Completada</t>
  </si>
  <si>
    <t>TRX-000233,03/09/2025,C030,P004,78,1290.48,749.63,Online,Litoral,242.97,0.0592,Pendiente</t>
  </si>
  <si>
    <t>TRX-000234,01/10/2025,C021,P006,40,529.89,328.12,Minorista,Cuyo,109.16,0.0941,Pendiente</t>
  </si>
  <si>
    <t>TRX-000235,13/06/2025,C030,P004,48,618.23,287.53,Online,Norte,59.73,0.0727,Cancelada</t>
  </si>
  <si>
    <t>TRX-000236,24/10/2025,C024,P007,38,342.15,191.21,Minorista,Litoral,550.02,0.07,Completada</t>
  </si>
  <si>
    <t>TRX-000237,12/05/2025,C025,P014,63,1742.39,1153.04,Minorista,Cuyo,150.94,0.0847,Completada</t>
  </si>
  <si>
    <t>TRX-000238,13/03/2025,C024,P009,63,396.56,294.84,Mayorista,Centro,364.37,0.087,Completada</t>
  </si>
  <si>
    <t>TRX-000239,09/12/2025,C002,P013,1,789.31,574.65,Online,Centro,474.3,0.0455,Cancelada</t>
  </si>
  <si>
    <t>TRX-000240,22/08/2025,C012,P001,80,1176.89,892.3,Minorista,Cuyo,59.44,0.0716,Pendiente</t>
  </si>
  <si>
    <t>TRX-000241,07/01/2025,C001,P009,36,1001.47,545.41,Mayorista,,533.7,0.0905,Completada</t>
  </si>
  <si>
    <t>TRX-000242,19/02/2025,C017,P003,31,410.12,255.8,Minorista,Sur,526.96,0.049,Pendiente</t>
  </si>
  <si>
    <t>TRX-000243,24/08/2025,C019,P004,29,595.96,431.03,Online,Centro,106.1,0.064,Cancelada</t>
  </si>
  <si>
    <t>TRX-000244,01/09/2025,C002,P011,2,1288.89,615.17,Minorista,Sur,389.51,0.0879,Completada</t>
  </si>
  <si>
    <t>TRX-000245,28/09/2025,C030,P001,30,443.64,326.73,Mayorista,Cuyo,212.66,0.0912,Completada</t>
  </si>
  <si>
    <t>TRX-000246,06/10/2025,C019,P011,5,388.49,283.85,Online,Norte,402.22,0.0826,Pendiente</t>
  </si>
  <si>
    <t>TRX-000247,09/02/2025,C010,P003,73,493.61,358.08,Minorista,Litoral,249.04,0.0828,Completada</t>
  </si>
  <si>
    <t>TRX-000248,19/12/2025,C024,P002,65,1362.19,768.46,Online,Cuyo,189.29,0.0488,Cancelada</t>
  </si>
  <si>
    <t>TRX-000249,11/11/2025,C020,P007,42,130.96,70.74,Minorista,Cuyo,186.88,0.0727,Pendiente</t>
  </si>
  <si>
    <t>TRX-000250,10/08/2025,C006,P011,75,1216.36,581.76,Mayorista,Sur,528.83,0.0807,Completada</t>
  </si>
  <si>
    <t>TRX-000251,18/05/2025,C005,P007,20,1352.21,749.81,Online,Centro,53.12,0.0604,Completada</t>
  </si>
  <si>
    <t>TRX-000252,19/05/2025,C004,P003,12,402.31,240.63,Mayorista,Litoral,294.83,0.0463,Completada</t>
  </si>
  <si>
    <t>TRX-000253,11/10/2025,C003,P010,77,1429.23,1050.52,Online,Sur,298.29,0.084,Cancelada</t>
  </si>
  <si>
    <t>TRX-000254,05/05/2025,C019,P009,22,1258.74,636.84,Minorista,Sur,211.04,0.0523,Completada</t>
  </si>
  <si>
    <t>TRX-000255,11/08/2025,C009,P007,39,912.88,433.97,Minorista,Norte,482.54,0.0698,Cancelada</t>
  </si>
  <si>
    <t>TRX-000256,11/04/2025,C015,P002,18,604.01,460.93,Minorista,Litoral,277.93,0.0881,Pendiente</t>
  </si>
  <si>
    <t>TRX-000257,21/06/2025,C014,P014,77,314.13,174.6,Mayorista,Norte,337.41,0.0539,Pendiente</t>
  </si>
  <si>
    <t>TRX-000258,13/06/2025,C010,P012,63,1744.55,1235.23,Minorista,Cuyo,218.18,0.0843,Completada</t>
  </si>
  <si>
    <t>TRX-000259,28/02/2025,C030,P010,26,1098.63,692.2,Mayorista,Litoral,66.15,0.0814,Completada</t>
  </si>
  <si>
    <t>TRX-000260,13/08/2025,C026,P005,9,1488.62,1060.74,Minorista,Cuyo,133.51,0.0601,Completada</t>
  </si>
  <si>
    <t>TRX-000261,04/12/2025,C005,P012,55,1437.21,681.82,Mayorista,Cuyo,399.35,0.0717,Pendiente</t>
  </si>
  <si>
    <t>TRX-000262,06/10/2025,C002,P013,47,1286.81,924.0,Mayorista,Centro,115.62,0.0574,Completada</t>
  </si>
  <si>
    <t>TRX-000263,27/03/2025,C021,P010,6,1048.74,695.17,Mayorista,Cuyo,630.09,0.0616,Pendiente</t>
  </si>
  <si>
    <t>TRX-000264,24/02/2025,C001,P002,34,461.84,321.65,Mayorista,Litoral,462.6,0.0561,Completada</t>
  </si>
  <si>
    <t>TRX-000265,20/07/2025,C015,P013,76,1267.55,633.45,Online,Cuyo,112.73,0.0658,Completada</t>
  </si>
  <si>
    <t>TRX-000266,01/03/2025,C027,P012,19,679.13,382.49,Online,Litoral,339.76,0.0688,Pendiente</t>
  </si>
  <si>
    <t>TRX-000267,23/12/2025,C015,P006,9,596.45,427.87,Online,Centro,559.51,0.0774,Completada</t>
  </si>
  <si>
    <t>TRX-000268,05/05/2025,C017,P003,71,355.43,225.61,Minorista,Norte,528.65,0.0765,Completada</t>
  </si>
  <si>
    <t>TRX-000269,24/11/2025,C022,P007,51,130.21,84.98,Online,Cuyo,405.32,0.0644,Completada</t>
  </si>
  <si>
    <t>TRX-000270,16/04/2025,C009,P013,9,1073.04,765.97,Mayorista,Norte,269.48,0.0549,Completada</t>
  </si>
  <si>
    <t>TRX-000271,15/05/2025,C022,P014,63,987.67,652.76,Mayorista,Cuyo,416.79,0.0744,Completada</t>
  </si>
  <si>
    <t>TRX-000272,30/06/2025,C028,P008,80,376.75,253.28,Minorista,Litoral,404.1,0.0786,Completada</t>
  </si>
  <si>
    <t>TRX-000273,02/03/2025,C008,P005,15,394.84,268.03,Mayorista,Cuyo,300.94,0.0519,Pendiente</t>
  </si>
  <si>
    <t>TRX-000274,05/08/2025,C006,P008,69,1272.7,843.72,Online,Litoral,150.12,0.0594,Completada</t>
  </si>
  <si>
    <t>TRX-000275,11/06/2025,C027,P008,80,172.21,97.9,Online,Cuyo,131.92,0.0858,Cancelada</t>
  </si>
  <si>
    <t>TRX-000276,16/09/2025,C021,P008,53,1257.68,738.46,Minorista,Cuyo,150.35,0.0733,Completada</t>
  </si>
  <si>
    <t>TRX-000277,30/05/2025,C002,P005,29,1004.69,507.88,Minorista,Litoral,495.51,0.0833,Cancelada</t>
  </si>
  <si>
    <t>TRX-000278,19/09/2025,C004,P010,15,540.77,340.27,Minorista,Litoral,543.57,0.0471,Pendiente</t>
  </si>
  <si>
    <t>TRX-000279,07/10/2025,C007,P007,14,1345.9,895.98,Online,Sur,574.89,0.0466,Completada</t>
  </si>
  <si>
    <t>TRX-000280,28/06/2025,C028,P014,12,835.2,649.79,Online,Norte,536.42,0.0744,Completada</t>
  </si>
  <si>
    <t>TRX-000281,30/12/2025,C020,P011,55,365.49,181.26,Online,Norte,533.26,0.0735,Cancelada</t>
  </si>
  <si>
    <t>TRX-000282,24/05/2025,C020,P009,22,636.68,434.43,Minorista,Litoral,210.41,0.0879,Completada</t>
  </si>
  <si>
    <t>TRX-000283,11/03/2025,C025,P013,53,1660.28,1290.9,Mayorista,Norte,470.86,0.0516,Completada</t>
  </si>
  <si>
    <t>TRX-000284,31/12/2025,C011,P014,32,1389.73,935.51,Minorista,Norte,396.46,0.0584,Pendiente</t>
  </si>
  <si>
    <t>TRX-000285,12/07/2025,C015,P002,12,772.9,539.05,Mayorista,Sur,322.82,0.0694,Cancelada</t>
  </si>
  <si>
    <t>TRX-000286,02/01/2025,C028,P013,12,1337.2,804.04,Mayorista,Sur,560.06,0.0848,Pendiente</t>
  </si>
  <si>
    <t>TRX-000287,22/04/2025,C014,P014,28,930.91,518.09,Minorista,Sur,378.39,0.0515,Pendiente</t>
  </si>
  <si>
    <t>TRX-000288,25/06/2025,C029,P011,7,159.02,104.42,Minorista,Centro,124.54,0.0879,Pendiente</t>
  </si>
  <si>
    <t>TRX-000289,22/08/2025,C001,P007,26,1792.59,1344.63,Mayorista,Sur,145.39,0.0916,Completada</t>
  </si>
  <si>
    <t>TRX-000290,17/02/2025,C021,P006,33,221.76,148.42,Mayorista,Norte,81.07,0.0763,Completada</t>
  </si>
  <si>
    <t>TRX-000291,08/08/2025,C021,P002,13,81.87,49.72,Online,Litoral,185.71,0.079,Completada</t>
  </si>
  <si>
    <t>TRX-000292,05/01/2025,C023,P006,16,1779.63,1048.85,Online,Cuyo,92.5,0.0642,Completada</t>
  </si>
  <si>
    <t>TRX-000293,22/02/2025,C011,P006,39,315.86,222.76,Online,Norte,91.05,0.0732,Cancelada</t>
  </si>
  <si>
    <t>TRX-000294,29/11/2025,C006,P008,45,1322.58,869.29,Online,Cuyo,419.65,0.0671,Completada</t>
  </si>
  <si>
    <t>TRX-000295,14/02/2025,C029,P002,18,1374.21,885.76,Minorista,Sur,627.95,0.0607,Completada</t>
  </si>
  <si>
    <t>TRX-000296,07/05/2025,C009,P011,11,506.85,328.61,Mayorista,Litoral,220.95,0.0921,Completada</t>
  </si>
  <si>
    <t>TRX-000297,04/12/2025,C029,P005,27,970.53,599.93,Mayorista,Cuyo,227.33,0.0477,Completada</t>
  </si>
  <si>
    <t>TRX-000298,11/09/2025,C013,P002,31,939.28,606.77,Mayorista,Centro,642.13,0.0917,Completada</t>
  </si>
  <si>
    <t>TRX-000299,18/07/2025,C028,P014,73,803.89,506.69,Online,Cuyo,622.67,0.0835,Completada</t>
  </si>
  <si>
    <t>TRX-000300,28/10/2025,C003,P001,34,451.08,340.32,Minorista,Litoral,221.89,0.0806,Pendiente</t>
  </si>
  <si>
    <t>TRX-000301,05/08/2025,C023,P007,11,1181.72,741.44,Online,Sur,100.16,0.049,Completada</t>
  </si>
  <si>
    <t>TRX-000302,21/03/2025,C018,P006,51,1088.67,764.1,Mayorista,Centro,236.1,0.0669,Completada</t>
  </si>
  <si>
    <t>TRX-000303,30/01/2025,C008,P002,56,279.5,182.25,Online,Sur,449.65,0.0779,Completada</t>
  </si>
  <si>
    <t>TRX-000304,03/03/2025,C001,P012,18,1286.58,648.52,Minorista,Litoral,360.33,0.0861,Completada</t>
  </si>
  <si>
    <t>TRX-000305,27/03/2025,C012,P003,35,1340.65,655.52,Online,Sur,534.26,0.0586,Completada</t>
  </si>
  <si>
    <t>TRX-000306,15/05/2025,C023,P010,10,933.37,577.34,Online,Cuyo,565.62,0.0533,Completada</t>
  </si>
  <si>
    <t>TRX-000307,11/05/2025,C025,P002,74,1239.49,604.95,Mayorista,Litoral,51.54,0.0879,Completada</t>
  </si>
  <si>
    <t>TRX-000308,06/05/2025,C002,P008,47,738.72,369.01,Online,Litoral,531.87,0.0807,Pendiente</t>
  </si>
  <si>
    <t>TRX-000309,25/04/2025,C011,P004,54,1655.27,,Online,Litoral,273.68,0.0701,Completada</t>
  </si>
  <si>
    <t>TRX-000310,02/04/2025,C008,P013,67,1768.03,1352.27,Online,Cuyo,569.62,0.0837,Completada</t>
  </si>
  <si>
    <t>TRX-000311,17/06/2025,C003,P009,59,93.71,48.38,Mayorista,Sur,493.75,0.0571,Completada</t>
  </si>
  <si>
    <t>TRX-000312,30/10/2025,C016,P013,26,1339.84,844.59,Online,Norte,53.83,0.0655,Completada</t>
  </si>
  <si>
    <t>TRX-000313,05/10/2025,C012,P011,2,1715.7,772.89,Mayorista,Cuyo,559.4,0.0814,Completada</t>
  </si>
  <si>
    <t>TRX-000314,16/04/2025,C017,P004,54,926.29,435.14,Online,Sur,105.82,0.0911,Cancelada</t>
  </si>
  <si>
    <t>TRX-000315,31/07/2025,C023,P015,48,868.55,605.21,Mayorista,Centro,353.26,0.0769,Pendiente</t>
  </si>
  <si>
    <t>TRX-000316,08/02/2025,C019,P010,8,828.17,636.19,Online,Sur,206.59,0.0608,Pendiente</t>
  </si>
  <si>
    <t>TRX-000317,25/12/2025,C027,P012,42,627.06,338.45,Online,Norte,131.67,0.0835,Completada</t>
  </si>
  <si>
    <t>TRX-000318,21/03/2025,C004,P003,58,881.61,514.99,Mayorista,Sur,628.78,0.0554,Completada</t>
  </si>
  <si>
    <t>TRX-000319,26/08/2025,C009,P014,16,235.52,168.75,Minorista,Litoral,74.2,0.0868,Completada</t>
  </si>
  <si>
    <t>TRX-000320,17/03/2025,C003,P012,32,1745.65,1013.8,Online,Sur,206.1,0.0945,Completada</t>
  </si>
  <si>
    <t>TRX-000321,27/07/2025,C028,P008,72,1366.69,727.7,Minorista,Centro,532.34,0.052,Completada</t>
  </si>
  <si>
    <t>TRX-000322,01/02/2025,C027,P013,29,304.83,220.03,Minorista,Centro,399.39,0.0579,Completada</t>
  </si>
  <si>
    <t>TRX-000323,12/01/2025,C003,P004,57,1471.99,707.07,Minorista,Centro,75.62,0.068,Completada</t>
  </si>
  <si>
    <t>TRX-000324,21/10/2025,C014,P014,51,933.34,537.88,Minorista,Norte,262.37,0.0904,Completada</t>
  </si>
  <si>
    <t>TRX-000325,24/05/2025,C015,P015,20,139.6,91.34,Online,Sur,349.33,0.0891,Pendiente</t>
  </si>
  <si>
    <t>TRX-000326,01/02/2025,C003,P005,50,316.05,163.03,Mayorista,Norte,428.45,0.0851,Completada</t>
  </si>
  <si>
    <t>TRX-000327,15/07/2025,C026,P012,46,905.06,640.67,Minorista,Litoral,351.44,0.0644,Completada</t>
  </si>
  <si>
    <t>TRX-000328,14/01/2025,C011,P010,29,130.4,93.57,Minorista,Centro,535.19,0.0686,Completada</t>
  </si>
  <si>
    <t>TRX-000329,27/10/2025,C008,P003,13,506.31,268.13,Mayorista,Centro,508.43,0.0924,Cancelada</t>
  </si>
  <si>
    <t>TRX-000330,18/07/2025,C012,P015,23,382.89,247.17,Mayorista,Sur,598.39,0.0464,Completada</t>
  </si>
  <si>
    <t>TRX-000331,18/10/2025,C019,P003,73,1711.19,1242.51,Minorista,Litoral,235.43,0.0695,Completada</t>
  </si>
  <si>
    <t>TRX-000332,29/01/2025,C008,P010,29,114.28,69.45,Minorista,Litoral,170.88,0.0515,Completada</t>
  </si>
  <si>
    <t>TRX-000333,15/06/2025,C002,P001,19,1088.97,819.65,Online,Litoral,566.4,0.093,Completada</t>
  </si>
  <si>
    <t>TRX-000334,27/12/2025,C022,P007,76,253.78,139.47,Online,Norte,489.41,0.0668,Pendiente</t>
  </si>
  <si>
    <t>TRX-000335,29/11/2025,C011,P003,72,1272.92,962.99,Minorista,Norte,449.32,0.0857,Pendiente</t>
  </si>
  <si>
    <t>TRX-000336,07/06/2025,C024,P012,38,299.04,206.49,Mayorista,Litoral,284.96,0.0947,Cancelada</t>
  </si>
  <si>
    <t>TRX-000337,17/01/2025,C006,P010,41,1664.19,1280.24,Online,Litoral,112.47,0.0698,Completada</t>
  </si>
  <si>
    <t>TRX-000338,09/02/2025,C008,P006,41,368.77,273.68,Online,Sur,317.98,0.0583,Completada</t>
  </si>
  <si>
    <t>TRX-000339,21/12/2025,C003,P006,33,1433.67,985.99,Online,Cuyo,312.93,0.066,Completada</t>
  </si>
  <si>
    <t>TRX-000340,31/07/2025,C016,P015,49,684.12,392.59,Minorista,Litoral,440.58,0.0794,Completada</t>
  </si>
  <si>
    <t>TRX-000341,20/08/2025,C003,P013,5,587.24,326.02,Online,Centro,255.08,0.0894,Completada</t>
  </si>
  <si>
    <t>TRX-000342,08/02/2025,C018,P015,12,661.28,512.59,Minorista,Centro,308.79,0.0777,Cancelada</t>
  </si>
  <si>
    <t>TRX-000343,11/08/2025,C006,P001,13,649.48,501.11,Minorista,Litoral,483.22,0.0815,Completada</t>
  </si>
  <si>
    <t>TRX-000344,05/12/2025,C010,P005,31,244.98,142.0,Mayorista,Cuyo,142.15,0.063,Pendiente</t>
  </si>
  <si>
    <t>TRX-000345,14/02/2025,C010,P014,77,906.16,436.77,Online,Norte,432.91,0.0939,Pendiente</t>
  </si>
  <si>
    <t>TRX-000346,01/03/2025,C010,P013,51,890.02,663.34,Minorista,Centro,435.12,0.0644,Completada</t>
  </si>
  <si>
    <t>TRX-000347,15/07/2025,C012,P003,58,156.74,93.28,Minorista,Norte,552.25,0.0732,Completada</t>
  </si>
  <si>
    <t>TRX-000348,23/12/2025,C022,P002,11,1229.2,880.97,Minorista,Litoral,186.51,0.048,Pendiente</t>
  </si>
  <si>
    <t>TRX-000349,25/09/2025,C014,P009,61,1065.07,562.1,Minorista,Centro,286.88,0.0877,Completada</t>
  </si>
  <si>
    <t>TRX-000350,15/09/2025,C019,P015,67,1456.77,981.26,Mayorista,Norte,122.17,0.0829,Completada</t>
  </si>
  <si>
    <t>TRX-000351,27/03/2025,C007,P013,25,297.04,175.17,Mayorista,Cuyo,171.15,0.0861,Completada</t>
  </si>
  <si>
    <t>TRX-000352,01/11/2025,C009,P006,9,229.69,145.53,Mayorista,Sur,563.97,0.071,Completada</t>
  </si>
  <si>
    <t>TRX-000353,25/12/2025,C020,P010,67,1424.5,693.92,Online,Norte,389.96,0.0741,Completada</t>
  </si>
  <si>
    <t>TRX-000354,24/02/2025,C019,P013,13,1431.48,1053.95,Minorista,Cuyo,208.48,0.0777,Cancelada</t>
  </si>
  <si>
    <t>TRX-000355,08/11/2025,C016,P001,23,553.71,275.45,Mayorista,Cuyo,73.27,0.0895,Completada</t>
  </si>
  <si>
    <t>TRX-000356,20/12/2025,C008,P001,61,1663.84,1241.26,Online,Sur,540.43,0.0602,Completada</t>
  </si>
  <si>
    <t>TRX-000357,09/09/2025,C028,P012,13,1752.69,920.56,Minorista,Cuyo,514.42,0.061,Pendiente</t>
  </si>
  <si>
    <t>TRX-000358,06/11/2025,C021,P002,25,839.75,631.02,Minorista,Cuyo,505.7,0.0884,Completada</t>
  </si>
  <si>
    <t>TRX-000359,21/09/2025,C026,P003,9,615.13,379.68,Online,Litoral,577.6,0.0464,Completada</t>
  </si>
  <si>
    <t>TRX-000360,13/04/2025,C027,P001,32,136.88,63.88,Minorista,Norte,214.39,0.0862,Cancelada</t>
  </si>
  <si>
    <t>TRX-000361,23/07/2025,C021,P015,16,1251.62,663.16,Minorista,Litoral,317.66,0.093,Pendiente</t>
  </si>
  <si>
    <t>TRX-000362,28/10/2025,C018,P006,45,361.24,269.19,Mayorista,Centro,221.04,0.0643,Completada</t>
  </si>
  <si>
    <t>TRX-000363,20/10/2025,C025,P004,29,1193.49,803.98,Minorista,Cuyo,357.97,0.0882,Completada</t>
  </si>
  <si>
    <t>TRX-000364,31/08/2025,C030,P003,23,1113.96,504.39,Minorista,Litoral,533.05,0.0603,Completada</t>
  </si>
  <si>
    <t>TRX-000365,05/08/2025,C029,P007,45,869.48,453.88,Minorista,Litoral,544.59,0.0649,Completada</t>
  </si>
  <si>
    <t>TRX-000366,04/01/2025,C017,P011,48,1045.71,675.47,Minorista,Sur,460.65,0.0691,Completada</t>
  </si>
  <si>
    <t>TRX-000367,22/05/2025,C021,P006,36,529.17,362.3,Mayorista,Sur,163.02,0.0709,Completada</t>
  </si>
  <si>
    <t>TRX-000368,30/01/2025,C026,P014,77,775.05,430.51,Online,Centro,443.24,0.0949,Completada</t>
  </si>
  <si>
    <t>TRX-000369,03/08/2025,C013,P007,5,1082.8,842.71,Online,Sur,485.93,0.0561,Cancelada</t>
  </si>
  <si>
    <t>TRX-000370,23/11/2025,C026,P008,46,952.58,694.42,Mayorista,Litoral,158.68,0.0499,Completada</t>
  </si>
  <si>
    <t>TRX-000371,13/05/2025,C024,P013,72,1392.22,710.61,Mayorista,Sur,442.66,0.0561,Completada</t>
  </si>
  <si>
    <t>TRX-000372,07/06/2025,C014,P013,43,719.29,462.67,Minorista,Centro,332.32,0.0883,Cancelada</t>
  </si>
  <si>
    <t>TRX-000373,25/10/2025,C020,P002,61,1609.81,990.29,Mayorista,Cuyo,367.9,0.0657,Completada</t>
  </si>
  <si>
    <t>TRX-000374,12/03/2025,C007,P006,53,1777.97,1323.95,Minorista,Norte,239.83,0.0808,Completada</t>
  </si>
  <si>
    <t>TRX-000375,07/09/2025,C011,P011,23,619.07,290.43,Minorista,Sur,175.63,0.0837,Cancelada</t>
  </si>
  <si>
    <t>TRX-000376,23/03/2025,C016,P013,12,302.58,179.47,Minorista,Cuyo,307.42,0.0689,Completada</t>
  </si>
  <si>
    <t>TRX-000377,20/01/2025,C018,P004,48,1714.12,1275.93,Mayorista,Norte,60.75,0.0452,Completada</t>
  </si>
  <si>
    <t>TRX-000378,26/04/2025,C023,P015,45,616.8,298.47,Mayorista,Litoral,233.67,0.0483,Completada</t>
  </si>
  <si>
    <t>TRX-000379,02/06/2025,C010,P008,67,1105.76,620.87,Mayorista,Norte,255.64,0.0901,Completada</t>
  </si>
  <si>
    <t>TRX-000380,07/04/2025,C006,P015,52,112.89,59.16,Online,Norte,490.45,0.0745,Completada</t>
  </si>
  <si>
    <t>TRX-000381,05/03/2025,C012,P012,5,725.33,479.67,Mayorista,Litoral,79.15,0.0947,Completada</t>
  </si>
  <si>
    <t>TRX-000382,01/12/2025,C027,P001,7,1266.37,744.04,Minorista,Centro,378.37,0.0687,Completada</t>
  </si>
  <si>
    <t>TRX-000383,16/04/2025,C023,P011,2,597.92,399.62,Mayorista,Litoral,211.99,0.0753,Completada</t>
  </si>
  <si>
    <t>TRX-000384,03/08/2025,C027,P015,14,959.93,627.64,Minorista,Centro,520.86,0.0699,Cancelada</t>
  </si>
  <si>
    <t>TRX-000385,13/04/2025,C025,P005,67,1753.77,996.34,Minorista,Sur,146.22,0.0724,Completada</t>
  </si>
  <si>
    <t>TRX-000386,19/12/2025,C030,P008,43,483.35,219.54,Online,Centro,551.14,0.0785,Completada</t>
  </si>
  <si>
    <t>TRX-000387,16/02/2025,C025,P009,10,1324.53,640.31,Minorista,Norte,324.05,0.0939,Completada</t>
  </si>
  <si>
    <t>TRX-000388,26/08/2025,C002,P002,23,1583.52,1157.94,Minorista,Sur,305.6,0.0508,Completada</t>
  </si>
  <si>
    <t>TRX-000389,05/01/2025,C028,P003,22,645.3,480.87,Mayorista,Sur,577.09,0.0496,Completada</t>
  </si>
  <si>
    <t>TRX-000390,04/04/2025,C004,P007,52,1735.17,936.48,Minorista,Cuyo,529.94,0.0774,Completada</t>
  </si>
  <si>
    <t>TRX-000391,27/02/2025,C005,P012,8,1768.3,1288.45,Online,Cuyo,596.74,0.0691,Cancelada</t>
  </si>
  <si>
    <t>TRX-000392,14/12/2025,C015,P003,79,733.17,416.69,Online,Norte,339.85,0.0694,Pendiente</t>
  </si>
  <si>
    <t>TRX-000393,14/08/2025,C002,P002,34,1206.55,547.87,Mayorista,Litoral,510.52,0.0738,Cancelada</t>
  </si>
  <si>
    <t>TRX-000394,25/04/2025,C022,P014,44,972.85,658.74,Mayorista,Centro,309.71,0.0813,Pendiente</t>
  </si>
  <si>
    <t>TRX-000395,27/06/2025,C022,P011,50,335.69,242.61,Mayorista,Centro,56.99,0.0917,Cancelada</t>
  </si>
  <si>
    <t>TRX-000396,29/08/2025,C028,P008,22,208.77,127.82,Online,Sur,632.09,0.0475,Completada</t>
  </si>
  <si>
    <t>TRX-000397,09/10/2025,C021,P007,52,1485.42,707.08,Minorista,Litoral,318.86,0.0878,Pendiente</t>
  </si>
  <si>
    <t>TRX-000398,11/06/2025,C004,P008,3,256.55,150.36,Mayorista,Litoral,50.1,0.0495,Cancelada</t>
  </si>
  <si>
    <t>TRX-000399,13/11/2025,C021,P005,66,1047.21,697.46,Minorista,Sur,268.01,0.0477,Completada</t>
  </si>
  <si>
    <t>TRX-000400,21/08/2025,C011,P009,80,1111.92,763.33,Minorista,Cuyo,118.41,0.083,Completada</t>
  </si>
  <si>
    <t>TRX-000401,02/01/2025,C011,P006,38,1022.03,586.02,Online,Centro,588.13,0.0696,Pendiente</t>
  </si>
  <si>
    <t>TRX-000402,24/02/2025,C009,P010,26,402.57,304.73,Minorista,Norte,324.23,0.0841,Completada</t>
  </si>
  <si>
    <t>TRX-000403,25/02/2025,C025,P007,6,1673.8,1215.79,Mayorista,Centro,513.29,0.0675,Cancelada</t>
  </si>
  <si>
    <t>TRX-000404,16/09/2025,C005,P008,1,992.23,462.41,Minorista,Litoral,339.76,0.0704,Completada</t>
  </si>
  <si>
    <t>TRX-000405,21/12/2025,C019,P003,17,258.11,172.15,Mayorista,Sur,352.47,0.0642,Cancelada</t>
  </si>
  <si>
    <t>TRX-000406,21/12/2025,C025,P004,36,764.34,430.43,Minorista,Cuyo,532.88,0.0519,Cancelada</t>
  </si>
  <si>
    <t>TRX-000407,25/12/2025,C029,P012,66,594.13,404.9,Minorista,Litoral,429.55,0.055,Cancelada</t>
  </si>
  <si>
    <t>TRX-000408,29/05/2025,C022,P006,17,1767.9,1174.82,Online,Litoral,375.49,0.0768,Completada</t>
  </si>
  <si>
    <t>TRX-000409,30/06/2025,C018,P008,75,1061.5,711.38,Minorista,Litoral,221.56,0.0874,Completada</t>
  </si>
  <si>
    <t>TRX-000410,25/09/2025,C004,P001,49,329.96,221.46,Online,Sur,500.11,0.053,Completada</t>
  </si>
  <si>
    <t>TRX-000411,16/12/2025,C009,P003,8,1267.82,694.0,Mayorista,Centro,265.21,0.0676,Cancelada</t>
  </si>
  <si>
    <t>TRX-000412,12/12/2025,C024,P009,29,1356.95,861.96,Online,Litoral,520.58,0.0849,Completada</t>
  </si>
  <si>
    <t>TRX-000413,21/12/2025,C022,P001,49,746.59,571.67,Mayorista,Sur,629.5,0.0477,Completada</t>
  </si>
  <si>
    <t>TRX-000414,14/04/2025,C020,P014,57,1507.57,1131.87,Mayorista,Sur,503.06,0.0723,Cancelada</t>
  </si>
  <si>
    <t>TRX-000415,11/04/2025,C025,P012,25,585.99,298.01,Mayorista,Centro,162.19,0.0537,Cancelada</t>
  </si>
  <si>
    <t>TRX-000416,03/03/2025,C013,P001,55,560.07,300.87,Online,Litoral,557.61,0.0453,Pendiente</t>
  </si>
  <si>
    <t>TRX-000417,30/12/2025,C030,P003,6,344.37,191.63,Online,Litoral,555.88,0.0601,Cancelada</t>
  </si>
  <si>
    <t>TRX-000418,09/10/2025,C012,P002,41,983.68,753.31,Mayorista,Centro,521.75,0.053,Cancelada</t>
  </si>
  <si>
    <t>TRX-000419,02/10/2025,C013,P002,45,460.46,239.63,Minorista,Sur,266.48,0.0559,Cancelada</t>
  </si>
  <si>
    <t>TRX-000420,29/09/2025,C016,P009,2,277.32,156.46,Online,Litoral,601.16,0.0572,Completada</t>
  </si>
  <si>
    <t>TRX-000421,16/12/2025,C029,P006,49,1655.4,1261.16,Minorista,Sur,374.14,0.0591,Cancelada</t>
  </si>
  <si>
    <t>TRX-000422,11/07/2025,C017,P013,66,846.36,393.11,Mayorista,Norte,,0.0491,Completada</t>
  </si>
  <si>
    <t>TRX-000423,27/03/2025,C025,P009,69,92.61,43.68,Mayorista,Norte,568.97,0.0662,Completada</t>
  </si>
  <si>
    <t>TRX-000424,16/04/2025,C018,P014,56,1192.09,906.13,Mayorista,Norte,64.25,0.0808,Completada</t>
  </si>
  <si>
    <t>TRX-000425,14/02/2025,C003,P001,23,1446.05,917.04,Mayorista,Norte,596.59,0.0654,Pendiente</t>
  </si>
  <si>
    <t>TRX-000426,19/11/2025,C013,P007,41,109.05,73.3,Mayorista,Centro,434.85,0.0759,Cancelada</t>
  </si>
  <si>
    <t>TRX-000427,24/01/2025,C023,P014,10,695.24,428.22,Minorista,Sur,413.94,0.0591,Pendiente</t>
  </si>
  <si>
    <t>TRX-000428,15/07/2025,C013,P014,4,895.26,560.47,Online,Cuyo,528.06,0.0875,Completada</t>
  </si>
  <si>
    <t>TRX-000429,21/11/2025,C005,P005,48,1726.71,783.37,Mayorista,Norte,123.94,0.0453,Cancelada</t>
  </si>
  <si>
    <t>TRX-000430,21/07/2025,C018,P009,11,604.07,421.0,Mayorista,Sur,177.04,0.0903,Cancelada</t>
  </si>
  <si>
    <t>TRX-000431,14/03/2025,C006,P003,29,1141.04,608.64,Online,Norte,452.59,0.0734,Completada</t>
  </si>
  <si>
    <t>TRX-000432,09/10/2025,C015,P011,71,205.81,138.23,Minorista,Centro,168.45,0.074,Completada</t>
  </si>
  <si>
    <t>TRX-000433,02/07/2025,C005,P011,31,252.08,164.97,Online,Sur,341.52,0.0614,Completada</t>
  </si>
  <si>
    <t>TRX-000434,22/12/2025,C019,P003,73,1055.0,755.95,Minorista,Norte,52.9,0.0573,Completada</t>
  </si>
  <si>
    <t>TRX-000435,31/12/2025,C024,P011,56,555.89,316.1,Mayorista,Sur,576.73,0.0681,Completada</t>
  </si>
  <si>
    <t>TRX-000436,06/06/2025,C016,P009,14,382.32,248.58,Minorista,Norte,584.78,0.0548,Completada</t>
  </si>
  <si>
    <t>TRX-000437,08/02/2025,C029,P001,65,1166.4,837.68,Mayorista,Cuyo,511.52,0.0556,Completada</t>
  </si>
  <si>
    <t>TRX-000438,10/10/2025,C009,P009,70,892.02,629.6,Minorista,Cuyo,183.98,0.0836,Completada</t>
  </si>
  <si>
    <t>TRX-000439,10/03/2025,C015,P009,66,235.75,134.4,Online,Norte,558.79,0.0853,Cancelada</t>
  </si>
  <si>
    <t>TRX-000440,17/12/2025,C006,P013,66,321.44,161.54,Mayorista,Litoral,445.65,0.0934,Pendiente</t>
  </si>
  <si>
    <t>TRX-000441,03/07/2025,C002,P004,63,478.61,257.13,Online,Centro,451.15,0.0709,Completada</t>
  </si>
  <si>
    <t>TRX-000442,18/07/2025,C016,P015,59,1596.27,739.34,Mayorista,Sur,111.94,0.0934,Completada</t>
  </si>
  <si>
    <t>TRX-000443,15/05/2025,C019,P009,73,379.02,252.32,Minorista,Litoral,442.0,0.0868,Cancelada</t>
  </si>
  <si>
    <t>TRX-000444,09/05/2025,C013,P015,29,968.16,548.42,Minorista,Cuyo,525.59,0.0894,Completada</t>
  </si>
  <si>
    <t>TRX-000445,14/09/2025,C029,P003,57,364.84,173.46,Mayorista,Sur,176.91,0.0543,Completada</t>
  </si>
  <si>
    <t>TRX-000446,05/11/2025,C023,P014,16,1217.11,714.23,Minorista,Centro,338.91,0.0689,Completada</t>
  </si>
  <si>
    <t>TRX-000447,30/10/2025,C006,P011,53,118.61,55.06,Mayorista,Litoral,146.68,0.0765,Completada</t>
  </si>
  <si>
    <t>TRX-000448,21/10/2025,C005,P001,22,524.21,267.04,Minorista,Litoral,631.55,0.0769,Completada</t>
  </si>
  <si>
    <t>TRX-000449,13/02/2025,C007,P008,78,1787.57,1316.03,Online,Norte,548.22,0.075,Cancelada</t>
  </si>
  <si>
    <t>TRX-000450,04/04/2025,C020,P011,66,534.98,368.59,Minorista,Cuyo,407.92,0.0484,Pendiente</t>
  </si>
  <si>
    <t>TRX-000451,17/07/2025,C005,P002,3,428.04,314.04,Mayorista,Cuyo,545.91,0.0753,Completada</t>
  </si>
  <si>
    <t>TRX-000452,01/09/2025,C029,P010,77,147.14,104.27,Mayorista,Centro,105.91,0.078,Cancelada</t>
  </si>
  <si>
    <t>TRX-000453,04/10/2025,C027,P001,56,977.92,559.59,Online,Litoral,307.37,0.0919,Pendiente</t>
  </si>
  <si>
    <t>TRX-000454,15/07/2025,C012,P010,74,248.07,122.59,Minorista,Norte,596.05,0.0492,Cancelada</t>
  </si>
  <si>
    <t>TRX-000455,06/10/2025,C014,P005,25,89.41,62.18,Online,Litoral,363.52,0.071,Pendiente</t>
  </si>
  <si>
    <t>TRX-000456,02/12/2025,C007,P012,41,783.21,379.99,Minorista,Litoral,202.18,0.0877,Pendiente</t>
  </si>
  <si>
    <t>TRX-000457,17/10/2025,C012,P010,36,1785.89,1037.89,Online,Cuyo,381.26,0.0729,Completada</t>
  </si>
  <si>
    <t>TRX-000458,09/07/2025,C018,P009,62,516.5,284.69,Minorista,Cuyo,491.47,0.0877,Completada</t>
  </si>
  <si>
    <t>TRX-000459,28/04/2025,C015,P013,21,252.48,155.97,Minorista,Litoral,418.42,0.0792,Completada</t>
  </si>
  <si>
    <t>TRX-000460,24/03/2025,C013,P011,1,1463.52,1056.18,Minorista,Litoral,311.23,0.0482,Completada</t>
  </si>
  <si>
    <t>TRX-000461,09/07/2025,C003,P010,5,1326.13,1004.05,Minorista,Litoral,443.71,0.0593,Cancelada</t>
  </si>
  <si>
    <t>TRX-000462,30/01/2025,C025,P014,23,1181.3,702.71,Online,Litoral,221.6,0.0467,Cancelada</t>
  </si>
  <si>
    <t>TRX-000463,19/09/2025,C017,P012,30,1138.13,765.31,Minorista,Norte,443.01,0.0938,Completada</t>
  </si>
  <si>
    <t>TRX-000464,22/05/2025,C025,P007,46,1231.82,719.14,Online,Litoral,59.22,0.0802,Completada</t>
  </si>
  <si>
    <t>TRX-000465,09/10/2025,C010,P012,72,1653.82,934.2,Minorista,Norte,413.82,0.0547,Pendiente</t>
  </si>
  <si>
    <t>TRX-000466,22/10/2025,C001,P005,23,780.27,378.54,Online,Litoral,226.55,0.0924,Cancelada</t>
  </si>
  <si>
    <t>TRX-000467,12/05/2025,C029,P009,74,510.24,304.16,Minorista,Litoral,340.18,0.0572,Completada</t>
  </si>
  <si>
    <t>TRX-000468,23/08/2025,C022,P008,76,1562.68,951.75,Minorista,Centro,279.6,0.0844,Completada</t>
  </si>
  <si>
    <t>TRX-000469,13/12/2025,C023,P004,41,789.37,447.2,Mayorista,Centro,470.49,0.0582,Completada</t>
  </si>
  <si>
    <t>TRX-000470,17/02/2025,C013,P011,44,210.77,159.63,Minorista,Sur,262.12,0.0897,Completada</t>
  </si>
  <si>
    <t>TRX-000471,04/04/2025,C024,P011,25,938.28,484.05,Mayorista,Norte,573.65,0.0553,Completada</t>
  </si>
  <si>
    <t>TRX-000472,08/05/2025,C027,P010,46,348.31,169.0,Online,Cuyo,418.3,0.0832,Cancelada</t>
  </si>
  <si>
    <t>TRX-000473,22/01/2025,C028,P008,48,1147.55,702.84,Mayorista,Sur,344.48,0.0942,Cancelada</t>
  </si>
  <si>
    <t>TRX-000474,24/05/2025,C013,P004,74,300.58,187.41,Minorista,Cuyo,613.79,0.0466,Completada</t>
  </si>
  <si>
    <t>TRX-000475,21/07/2025,C028,P011,23,866.38,424.28,Mayorista,Cuyo,239.39,0.0454,Completada</t>
  </si>
  <si>
    <t>TRX-000476,14/07/2025,C019,P002,42,701.96,515.52,Online,Litoral,207.71,0.0585,Cancelada</t>
  </si>
  <si>
    <t>TRX-000477,25/06/2025,C012,P003,64,809.18,476.04,Minorista,Sur,562.6,0.059,Completada</t>
  </si>
  <si>
    <t>TRX-000478,20/10/2025,C005,P010,30,1480.41,1018.33,Online,Litoral,309.33,0.064,Completada</t>
  </si>
  <si>
    <t>TRX-000479,18/03/2025,C016,P013,2,383.76,235.96,Mayorista,Litoral,370.39,0.0608,Pendiente</t>
  </si>
  <si>
    <t>TRX-000480,03/06/2025,C009,P009,73,162.06,78.22,Online,Centro,179.28,0.0577,Completada</t>
  </si>
  <si>
    <t>TRX-000481,19/08/2025,C024,P006,34,700.85,444.98,Minorista,Sur,61.9,0.0511,Cancelada</t>
  </si>
  <si>
    <t>TRX-000482,12/04/2025,C019,P010,69,380.21,269.0,Minorista,Sur,453.92,0.0694,Pendiente</t>
  </si>
  <si>
    <t>TRX-000483,10/02/2025,C013,P010,37,877.65,672.0,Online,Sur,303.09,0.0756,Pendiente</t>
  </si>
  <si>
    <t>TRX-000484,06/02/2025,C003,P003,44,472.53,262.05,Minorista,Sur,413.23,0.0648,Pendiente</t>
  </si>
  <si>
    <t>TRX-000485,05/07/2025,C024,P010,67,1740.7,1021.12,Online,Centro,125.02,0.0567,Completada</t>
  </si>
  <si>
    <t>TRX-000486,25/12/2025,C024,P002,27,367.09,177.67,Online,Cuyo,379.06,0.0463,Pendiente</t>
  </si>
  <si>
    <t>TRX-000487,26/09/2025,C025,P002,14,531.42,266.37,Mayorista,Cuyo,235.62,0.0574,Completada</t>
  </si>
  <si>
    <t>TRX-000488,15/08/2025,C021,P003,17,986.0,499.21,Online,Sur,566.22,0.0613,Pendiente</t>
  </si>
  <si>
    <t>TRX-000489,28/08/2025,C028,P009,35,1023.5,506.21,Mayorista,Litoral,156.22,0.0749,Cancelada</t>
  </si>
  <si>
    <t>TRX-000490,11/08/2025,C017,P011,69,612.62,345.86,Mayorista,Norte,532.82,0.0671,Completada</t>
  </si>
  <si>
    <t>TRX-000491,31/07/2025,C009,P003,39,98.16,61.12,Online,Sur,222.06,0.0718,Pendiente</t>
  </si>
  <si>
    <t>TRX-000492,02/09/2025,C010,P001,56,1452.5,939.78,Online,Litoral,274.19,0.0656,Cancelada</t>
  </si>
  <si>
    <t>TRX-000493,12/08/2025,C013,P004,21,1309.69,868.56,Minorista,Norte,207.79,0.0661,Completada</t>
  </si>
  <si>
    <t>TRX-000494,22/09/2025,C025,P013,79,1469.03,992.96,Minorista,Litoral,535.29,0.0656,Completada</t>
  </si>
  <si>
    <t>TRX-000495,04/04/2025,C005,P005,15,1175.46,768.58,Minorista,Litoral,345.2,0.061,Completada</t>
  </si>
  <si>
    <t>TRX-000496,26/01/2025,C018,P001,24,1752.41,951.73,Online,Cuyo,486.26,0.0566,Completada</t>
  </si>
  <si>
    <t>TRX-000497,08/01/2025,C016,P004,44,802.82,569.43,Minorista,Sur,328.21,0.0846,Completada</t>
  </si>
  <si>
    <t>TRX-000498,11/02/2025,C027,P013,19,176.39,124.53,Online,Litoral,332.09,0.0546,Completada</t>
  </si>
  <si>
    <t>TRX-000499,15/07/2025,C027,P001,16,1756.31,1204.56,Minorista,Cuyo,198.3,0.0947,Completada</t>
  </si>
  <si>
    <t>TRX-000500,24/08/2025,C024,P013,13,976.36,755.8,Minorista,Cuyo,458.87,0.0606,Completada</t>
  </si>
  <si>
    <t>ID_Transaccion</t>
  </si>
  <si>
    <t>Fecha</t>
  </si>
  <si>
    <t>ID_Cliente</t>
  </si>
  <si>
    <t>ID_Producto</t>
  </si>
  <si>
    <t>Cantidad</t>
  </si>
  <si>
    <t>Precio_Unitario</t>
  </si>
  <si>
    <t>Costo_Unitario</t>
  </si>
  <si>
    <t>Canal</t>
  </si>
  <si>
    <t>Region</t>
  </si>
  <si>
    <t>Costo_Envio</t>
  </si>
  <si>
    <t>Tasa_Interes</t>
  </si>
  <si>
    <t>Estado</t>
  </si>
  <si>
    <t>Ventas_Totales</t>
  </si>
  <si>
    <t>Costo_Productos</t>
  </si>
  <si>
    <t>Beneficio</t>
  </si>
  <si>
    <t>Margen</t>
  </si>
  <si>
    <t>TRX-000006</t>
  </si>
  <si>
    <t>C028</t>
  </si>
  <si>
    <t>P004</t>
  </si>
  <si>
    <t>Minorista</t>
  </si>
  <si>
    <t>Norte</t>
  </si>
  <si>
    <t>Completada</t>
  </si>
  <si>
    <t>TRX-000010</t>
  </si>
  <si>
    <t>C009</t>
  </si>
  <si>
    <t>P012</t>
  </si>
  <si>
    <t>Pendiente</t>
  </si>
  <si>
    <t>TRX-000015</t>
  </si>
  <si>
    <t>C020</t>
  </si>
  <si>
    <t>P006</t>
  </si>
  <si>
    <t>TRX-000018</t>
  </si>
  <si>
    <t>C029</t>
  </si>
  <si>
    <t>P009</t>
  </si>
  <si>
    <t>Centro</t>
  </si>
  <si>
    <t>TRX-000019</t>
  </si>
  <si>
    <t>C003</t>
  </si>
  <si>
    <t>TRX-000020</t>
  </si>
  <si>
    <t>C018</t>
  </si>
  <si>
    <t>P003</t>
  </si>
  <si>
    <t>Cuyo</t>
  </si>
  <si>
    <t>TRX-000022</t>
  </si>
  <si>
    <t>C007</t>
  </si>
  <si>
    <t>TRX-000038</t>
  </si>
  <si>
    <t>P001</t>
  </si>
  <si>
    <t>Sur</t>
  </si>
  <si>
    <t>TRX-000040</t>
  </si>
  <si>
    <t>C001</t>
  </si>
  <si>
    <t>P002</t>
  </si>
  <si>
    <t>TRX-000055</t>
  </si>
  <si>
    <t>C016</t>
  </si>
  <si>
    <t>TRX-000057</t>
  </si>
  <si>
    <t>C013</t>
  </si>
  <si>
    <t>TRX-000059</t>
  </si>
  <si>
    <t>P014</t>
  </si>
  <si>
    <t>TRX-000063</t>
  </si>
  <si>
    <t>C017</t>
  </si>
  <si>
    <t>P011</t>
  </si>
  <si>
    <t>TRX-000064</t>
  </si>
  <si>
    <t>C005</t>
  </si>
  <si>
    <t>P007</t>
  </si>
  <si>
    <t>Litoral</t>
  </si>
  <si>
    <t>TRX-000066</t>
  </si>
  <si>
    <t>TRX-000068</t>
  </si>
  <si>
    <t>P013</t>
  </si>
  <si>
    <t>TRX-000073</t>
  </si>
  <si>
    <t>TRX-000076</t>
  </si>
  <si>
    <t>C015</t>
  </si>
  <si>
    <t>P015</t>
  </si>
  <si>
    <t>TRX-000078</t>
  </si>
  <si>
    <t>P008</t>
  </si>
  <si>
    <t>TRX-000080</t>
  </si>
  <si>
    <t>C006</t>
  </si>
  <si>
    <t>TRX-000081</t>
  </si>
  <si>
    <t>TRX-000089</t>
  </si>
  <si>
    <t>C030</t>
  </si>
  <si>
    <t>TRX-000092</t>
  </si>
  <si>
    <t>TRX-000095</t>
  </si>
  <si>
    <t>C014</t>
  </si>
  <si>
    <t>TRX-000097</t>
  </si>
  <si>
    <t>C021</t>
  </si>
  <si>
    <t>TRX-000100</t>
  </si>
  <si>
    <t>C008</t>
  </si>
  <si>
    <t>TRX-000101</t>
  </si>
  <si>
    <t>C019</t>
  </si>
  <si>
    <t>P005</t>
  </si>
  <si>
    <t>TRX-000102</t>
  </si>
  <si>
    <t>P010</t>
  </si>
  <si>
    <t>TRX-000103</t>
  </si>
  <si>
    <t>TRX-000105</t>
  </si>
  <si>
    <t>C024</t>
  </si>
  <si>
    <t>TRX-000106</t>
  </si>
  <si>
    <t>TRX-000107</t>
  </si>
  <si>
    <t>TRX-000108</t>
  </si>
  <si>
    <t>TRX-000112</t>
  </si>
  <si>
    <t>TRX-000117</t>
  </si>
  <si>
    <t>C026</t>
  </si>
  <si>
    <t>TRX-000119</t>
  </si>
  <si>
    <t>TRX-000120</t>
  </si>
  <si>
    <t>TRX-000122</t>
  </si>
  <si>
    <t>TRX-000128</t>
  </si>
  <si>
    <t>C012</t>
  </si>
  <si>
    <t>TRX-000140</t>
  </si>
  <si>
    <t>TRX-000141</t>
  </si>
  <si>
    <t>TRX-000145</t>
  </si>
  <si>
    <t>C025</t>
  </si>
  <si>
    <t>TRX-000148</t>
  </si>
  <si>
    <t>TRX-000151</t>
  </si>
  <si>
    <t>C002</t>
  </si>
  <si>
    <t>TRX-000156</t>
  </si>
  <si>
    <t>TRX-000160</t>
  </si>
  <si>
    <t>TRX-000162</t>
  </si>
  <si>
    <t>TRX-000163</t>
  </si>
  <si>
    <t>TRX-000169</t>
  </si>
  <si>
    <t>TRX-000174</t>
  </si>
  <si>
    <t>TRX-000175</t>
  </si>
  <si>
    <t>TRX-000180</t>
  </si>
  <si>
    <t>TRX-000185</t>
  </si>
  <si>
    <t>TRX-000190</t>
  </si>
  <si>
    <t>TRX-000201</t>
  </si>
  <si>
    <t>TRX-000206</t>
  </si>
  <si>
    <t>TRX-000208</t>
  </si>
  <si>
    <t>TRX-000214</t>
  </si>
  <si>
    <t>TRX-000215</t>
  </si>
  <si>
    <t>TRX-000220</t>
  </si>
  <si>
    <t>TRX-000222</t>
  </si>
  <si>
    <t>TRX-000225</t>
  </si>
  <si>
    <t>TRX-000226</t>
  </si>
  <si>
    <t>TRX-000228</t>
  </si>
  <si>
    <t>TRX-000232</t>
  </si>
  <si>
    <t>TRX-000234</t>
  </si>
  <si>
    <t>TRX-000236</t>
  </si>
  <si>
    <t>TRX-000237</t>
  </si>
  <si>
    <t>TRX-000240</t>
  </si>
  <si>
    <t>TRX-000242</t>
  </si>
  <si>
    <t>TRX-000244</t>
  </si>
  <si>
    <t>TRX-000247</t>
  </si>
  <si>
    <t>C010</t>
  </si>
  <si>
    <t>TRX-000249</t>
  </si>
  <si>
    <t>TRX-000254</t>
  </si>
  <si>
    <t>TRX-000256</t>
  </si>
  <si>
    <t>TRX-000258</t>
  </si>
  <si>
    <t>TRX-000260</t>
  </si>
  <si>
    <t>TRX-000268</t>
  </si>
  <si>
    <t>TRX-000272</t>
  </si>
  <si>
    <t>TRX-000276</t>
  </si>
  <si>
    <t>TRX-000278</t>
  </si>
  <si>
    <t>C004</t>
  </si>
  <si>
    <t>TRX-000282</t>
  </si>
  <si>
    <t>TRX-000284</t>
  </si>
  <si>
    <t>C011</t>
  </si>
  <si>
    <t>TRX-000287</t>
  </si>
  <si>
    <t>TRX-000288</t>
  </si>
  <si>
    <t>TRX-000295</t>
  </si>
  <si>
    <t>TRX-000300</t>
  </si>
  <si>
    <t>TRX-000304</t>
  </si>
  <si>
    <t>TRX-000319</t>
  </si>
  <si>
    <t>TRX-000321</t>
  </si>
  <si>
    <t>TRX-000322</t>
  </si>
  <si>
    <t>C027</t>
  </si>
  <si>
    <t>TRX-000323</t>
  </si>
  <si>
    <t>TRX-000324</t>
  </si>
  <si>
    <t>TRX-000327</t>
  </si>
  <si>
    <t>TRX-000328</t>
  </si>
  <si>
    <t>TRX-000331</t>
  </si>
  <si>
    <t>TRX-000332</t>
  </si>
  <si>
    <t>TRX-000335</t>
  </si>
  <si>
    <t>TRX-000340</t>
  </si>
  <si>
    <t>TRX-000343</t>
  </si>
  <si>
    <t>TRX-000346</t>
  </si>
  <si>
    <t>TRX-000347</t>
  </si>
  <si>
    <t>TRX-000348</t>
  </si>
  <si>
    <t>C022</t>
  </si>
  <si>
    <t>TRX-000349</t>
  </si>
  <si>
    <t>TRX-000357</t>
  </si>
  <si>
    <t>TRX-000358</t>
  </si>
  <si>
    <t>TRX-000361</t>
  </si>
  <si>
    <t>TRX-000363</t>
  </si>
  <si>
    <t>TRX-000364</t>
  </si>
  <si>
    <t>TRX-000365</t>
  </si>
  <si>
    <t>TRX-000366</t>
  </si>
  <si>
    <t>TRX-000374</t>
  </si>
  <si>
    <t>TRX-000376</t>
  </si>
  <si>
    <t>TRX-000382</t>
  </si>
  <si>
    <t>TRX-000385</t>
  </si>
  <si>
    <t>TRX-000387</t>
  </si>
  <si>
    <t>TRX-000388</t>
  </si>
  <si>
    <t>TRX-000390</t>
  </si>
  <si>
    <t>TRX-000397</t>
  </si>
  <si>
    <t>TRX-000399</t>
  </si>
  <si>
    <t>TRX-000400</t>
  </si>
  <si>
    <t>TRX-000402</t>
  </si>
  <si>
    <t>TRX-000404</t>
  </si>
  <si>
    <t>TRX-000409</t>
  </si>
  <si>
    <t>TRX-000427</t>
  </si>
  <si>
    <t>C023</t>
  </si>
  <si>
    <t>TRX-000432</t>
  </si>
  <si>
    <t>TRX-000434</t>
  </si>
  <si>
    <t>TRX-000436</t>
  </si>
  <si>
    <t>TRX-000438</t>
  </si>
  <si>
    <t>TRX-000444</t>
  </si>
  <si>
    <t>TRX-000446</t>
  </si>
  <si>
    <t>TRX-000448</t>
  </si>
  <si>
    <t>TRX-000450</t>
  </si>
  <si>
    <t>TRX-000456</t>
  </si>
  <si>
    <t>TRX-000458</t>
  </si>
  <si>
    <t>TRX-000459</t>
  </si>
  <si>
    <t>TRX-000460</t>
  </si>
  <si>
    <t>TRX-000463</t>
  </si>
  <si>
    <t>TRX-000465</t>
  </si>
  <si>
    <t>TRX-000467</t>
  </si>
  <si>
    <t>TRX-000468</t>
  </si>
  <si>
    <t>TRX-000470</t>
  </si>
  <si>
    <t>TRX-000474</t>
  </si>
  <si>
    <t>TRX-000477</t>
  </si>
  <si>
    <t>TRX-000482</t>
  </si>
  <si>
    <t>TRX-000484</t>
  </si>
  <si>
    <t>TRX-000493</t>
  </si>
  <si>
    <t>TRX-000494</t>
  </si>
  <si>
    <t>TRX-000495</t>
  </si>
  <si>
    <t>TRX-000497</t>
  </si>
  <si>
    <t>TRX-000499</t>
  </si>
  <si>
    <t>TRX-000500</t>
  </si>
  <si>
    <t>TRX-000023</t>
  </si>
  <si>
    <t>Online</t>
  </si>
  <si>
    <t>TRX-000033</t>
  </si>
  <si>
    <t>TRX-000036</t>
  </si>
  <si>
    <t>TRX-000065</t>
  </si>
  <si>
    <t>TRX-000067</t>
  </si>
  <si>
    <t>TRX-000077</t>
  </si>
  <si>
    <t>TRX-000084</t>
  </si>
  <si>
    <t>TRX-000130</t>
  </si>
  <si>
    <t>TRX-000136</t>
  </si>
  <si>
    <t>TRX-000152</t>
  </si>
  <si>
    <t>TRX-000155</t>
  </si>
  <si>
    <t>TRX-000166</t>
  </si>
  <si>
    <t>TRX-000176</t>
  </si>
  <si>
    <t>TRX-000198</t>
  </si>
  <si>
    <t>TRX-000229</t>
  </si>
  <si>
    <t>TRX-000230</t>
  </si>
  <si>
    <t>TRX-000233</t>
  </si>
  <si>
    <t>TRX-000246</t>
  </si>
  <si>
    <t>TRX-000266</t>
  </si>
  <si>
    <t>TRX-000308</t>
  </si>
  <si>
    <t>TRX-000316</t>
  </si>
  <si>
    <t>TRX-000325</t>
  </si>
  <si>
    <t>TRX-000334</t>
  </si>
  <si>
    <t>TRX-000345</t>
  </si>
  <si>
    <t>TRX-000392</t>
  </si>
  <si>
    <t>TRX-000401</t>
  </si>
  <si>
    <t>TRX-000416</t>
  </si>
  <si>
    <t>TRX-000453</t>
  </si>
  <si>
    <t>TRX-000455</t>
  </si>
  <si>
    <t>TRX-000483</t>
  </si>
  <si>
    <t>TRX-000486</t>
  </si>
  <si>
    <t>TRX-000488</t>
  </si>
  <si>
    <t>TRX-000491</t>
  </si>
  <si>
    <t>TRX-000001</t>
  </si>
  <si>
    <t>TRX-000003</t>
  </si>
  <si>
    <t>TRX-000005</t>
  </si>
  <si>
    <t>TRX-000016</t>
  </si>
  <si>
    <t>TRX-000025</t>
  </si>
  <si>
    <t>TRX-000026</t>
  </si>
  <si>
    <t>TRX-000028</t>
  </si>
  <si>
    <t>TRX-000035</t>
  </si>
  <si>
    <t>TRX-000046</t>
  </si>
  <si>
    <t>TRX-000047</t>
  </si>
  <si>
    <t>TRX-000052</t>
  </si>
  <si>
    <t>TRX-000053</t>
  </si>
  <si>
    <t>TRX-000056</t>
  </si>
  <si>
    <t>TRX-000058</t>
  </si>
  <si>
    <t>TRX-000060</t>
  </si>
  <si>
    <t>TRX-000061</t>
  </si>
  <si>
    <t>TRX-000070</t>
  </si>
  <si>
    <t>TRX-000072</t>
  </si>
  <si>
    <t>TRX-000074</t>
  </si>
  <si>
    <t>TRX-000087</t>
  </si>
  <si>
    <t>TRX-000088</t>
  </si>
  <si>
    <t>TRX-000090</t>
  </si>
  <si>
    <t>TRX-000094</t>
  </si>
  <si>
    <t>TRX-000098</t>
  </si>
  <si>
    <t>TRX-000110</t>
  </si>
  <si>
    <t>TRX-000114</t>
  </si>
  <si>
    <t>TRX-000116</t>
  </si>
  <si>
    <t>TRX-000123</t>
  </si>
  <si>
    <t>TRX-000125</t>
  </si>
  <si>
    <t>TRX-000134</t>
  </si>
  <si>
    <t>TRX-000138</t>
  </si>
  <si>
    <t>TRX-000143</t>
  </si>
  <si>
    <t>TRX-000150</t>
  </si>
  <si>
    <t>TRX-000153</t>
  </si>
  <si>
    <t>TRX-000157</t>
  </si>
  <si>
    <t>TRX-000164</t>
  </si>
  <si>
    <t>TRX-000172</t>
  </si>
  <si>
    <t>TRX-000186</t>
  </si>
  <si>
    <t>TRX-000187</t>
  </si>
  <si>
    <t>TRX-000188</t>
  </si>
  <si>
    <t>TRX-000207</t>
  </si>
  <si>
    <t>TRX-000209</t>
  </si>
  <si>
    <t>TRX-000210</t>
  </si>
  <si>
    <t>TRX-000211</t>
  </si>
  <si>
    <t>TRX-000219</t>
  </si>
  <si>
    <t>TRX-000223</t>
  </si>
  <si>
    <t>TRX-000224</t>
  </si>
  <si>
    <t>TRX-000251</t>
  </si>
  <si>
    <t>TRX-000265</t>
  </si>
  <si>
    <t>TRX-000267</t>
  </si>
  <si>
    <t>TRX-000269</t>
  </si>
  <si>
    <t>TRX-000274</t>
  </si>
  <si>
    <t>TRX-000279</t>
  </si>
  <si>
    <t>TRX-000280</t>
  </si>
  <si>
    <t>TRX-000291</t>
  </si>
  <si>
    <t>TRX-000292</t>
  </si>
  <si>
    <t>TRX-000294</t>
  </si>
  <si>
    <t>TRX-000299</t>
  </si>
  <si>
    <t>TRX-000301</t>
  </si>
  <si>
    <t>TRX-000303</t>
  </si>
  <si>
    <t>TRX-000305</t>
  </si>
  <si>
    <t>TRX-000306</t>
  </si>
  <si>
    <t>TRX-000309</t>
  </si>
  <si>
    <t>TRX-000310</t>
  </si>
  <si>
    <t>TRX-000312</t>
  </si>
  <si>
    <t>TRX-000317</t>
  </si>
  <si>
    <t>TRX-000320</t>
  </si>
  <si>
    <t>TRX-000333</t>
  </si>
  <si>
    <t>TRX-000337</t>
  </si>
  <si>
    <t>TRX-000338</t>
  </si>
  <si>
    <t>TRX-000339</t>
  </si>
  <si>
    <t>TRX-000341</t>
  </si>
  <si>
    <t>TRX-000353</t>
  </si>
  <si>
    <t>TRX-000356</t>
  </si>
  <si>
    <t>TRX-000359</t>
  </si>
  <si>
    <t>TRX-000368</t>
  </si>
  <si>
    <t>TRX-000380</t>
  </si>
  <si>
    <t>TRX-000386</t>
  </si>
  <si>
    <t>TRX-000396</t>
  </si>
  <si>
    <t>TRX-000408</t>
  </si>
  <si>
    <t>TRX-000410</t>
  </si>
  <si>
    <t>TRX-000412</t>
  </si>
  <si>
    <t>TRX-000420</t>
  </si>
  <si>
    <t>TRX-000428</t>
  </si>
  <si>
    <t>TRX-000431</t>
  </si>
  <si>
    <t>TRX-000433</t>
  </si>
  <si>
    <t>TRX-000441</t>
  </si>
  <si>
    <t>TRX-000457</t>
  </si>
  <si>
    <t>TRX-000464</t>
  </si>
  <si>
    <t>TRX-000478</t>
  </si>
  <si>
    <t>TRX-000480</t>
  </si>
  <si>
    <t>TRX-000485</t>
  </si>
  <si>
    <t>TRX-000496</t>
  </si>
  <si>
    <t>TRX-000498</t>
  </si>
  <si>
    <t>TRX-000002</t>
  </si>
  <si>
    <t>Mayorista</t>
  </si>
  <si>
    <t>TRX-000012</t>
  </si>
  <si>
    <t>TRX-000017</t>
  </si>
  <si>
    <t>TRX-000021</t>
  </si>
  <si>
    <t>TRX-000027</t>
  </si>
  <si>
    <t>TRX-000029</t>
  </si>
  <si>
    <t>TRX-000032</t>
  </si>
  <si>
    <t>TRX-000037</t>
  </si>
  <si>
    <t>TRX-000042</t>
  </si>
  <si>
    <t>TRX-000045</t>
  </si>
  <si>
    <t>TRX-000050</t>
  </si>
  <si>
    <t>TRX-000051</t>
  </si>
  <si>
    <t>TRX-000062</t>
  </si>
  <si>
    <t>TRX-000071</t>
  </si>
  <si>
    <t>TRX-000079</t>
  </si>
  <si>
    <t>TRX-000082</t>
  </si>
  <si>
    <t>TRX-000083</t>
  </si>
  <si>
    <t>TRX-000091</t>
  </si>
  <si>
    <t>TRX-000093</t>
  </si>
  <si>
    <t>TRX-000096</t>
  </si>
  <si>
    <t>TRX-000109</t>
  </si>
  <si>
    <t>TRX-000111</t>
  </si>
  <si>
    <t>TRX-000113</t>
  </si>
  <si>
    <t>TRX-000127</t>
  </si>
  <si>
    <t>TRX-000132</t>
  </si>
  <si>
    <t>TRX-000133</t>
  </si>
  <si>
    <t>TRX-000137</t>
  </si>
  <si>
    <t>TRX-000142</t>
  </si>
  <si>
    <t>TRX-000154</t>
  </si>
  <si>
    <t>TRX-000158</t>
  </si>
  <si>
    <t>TRX-000165</t>
  </si>
  <si>
    <t>TRX-000167</t>
  </si>
  <si>
    <t>TRX-000171</t>
  </si>
  <si>
    <t>TRX-000173</t>
  </si>
  <si>
    <t>TRX-000177</t>
  </si>
  <si>
    <t>TRX-000178</t>
  </si>
  <si>
    <t>TRX-000189</t>
  </si>
  <si>
    <t>TRX-000197</t>
  </si>
  <si>
    <t>TRX-000199</t>
  </si>
  <si>
    <t>TRX-000200</t>
  </si>
  <si>
    <t>TRX-000202</t>
  </si>
  <si>
    <t>TRX-000238</t>
  </si>
  <si>
    <t>TRX-000241</t>
  </si>
  <si>
    <t>TRX-000245</t>
  </si>
  <si>
    <t>TRX-000250</t>
  </si>
  <si>
    <t>TRX-000252</t>
  </si>
  <si>
    <t>TRX-000259</t>
  </si>
  <si>
    <t>TRX-000262</t>
  </si>
  <si>
    <t>TRX-000264</t>
  </si>
  <si>
    <t>TRX-000270</t>
  </si>
  <si>
    <t>TRX-000271</t>
  </si>
  <si>
    <t>TRX-000283</t>
  </si>
  <si>
    <t>TRX-000289</t>
  </si>
  <si>
    <t>TRX-000290</t>
  </si>
  <si>
    <t>TRX-000296</t>
  </si>
  <si>
    <t>TRX-000297</t>
  </si>
  <si>
    <t>TRX-000298</t>
  </si>
  <si>
    <t>TRX-000302</t>
  </si>
  <si>
    <t>TRX-000307</t>
  </si>
  <si>
    <t>TRX-000311</t>
  </si>
  <si>
    <t>TRX-000313</t>
  </si>
  <si>
    <t>TRX-000318</t>
  </si>
  <si>
    <t>TRX-000326</t>
  </si>
  <si>
    <t>TRX-000330</t>
  </si>
  <si>
    <t>TRX-000350</t>
  </si>
  <si>
    <t>TRX-000351</t>
  </si>
  <si>
    <t>TRX-000352</t>
  </si>
  <si>
    <t>TRX-000355</t>
  </si>
  <si>
    <t>TRX-000362</t>
  </si>
  <si>
    <t>TRX-000367</t>
  </si>
  <si>
    <t>TRX-000370</t>
  </si>
  <si>
    <t>TRX-000371</t>
  </si>
  <si>
    <t>TRX-000373</t>
  </si>
  <si>
    <t>TRX-000377</t>
  </si>
  <si>
    <t>TRX-000378</t>
  </si>
  <si>
    <t>TRX-000379</t>
  </si>
  <si>
    <t>TRX-000381</t>
  </si>
  <si>
    <t>TRX-000383</t>
  </si>
  <si>
    <t>TRX-000389</t>
  </si>
  <si>
    <t>TRX-000413</t>
  </si>
  <si>
    <t>TRX-000422</t>
  </si>
  <si>
    <t>TRX-000423</t>
  </si>
  <si>
    <t>TRX-000424</t>
  </si>
  <si>
    <t>TRX-000435</t>
  </si>
  <si>
    <t>TRX-000437</t>
  </si>
  <si>
    <t>TRX-000442</t>
  </si>
  <si>
    <t>TRX-000445</t>
  </si>
  <si>
    <t>TRX-000447</t>
  </si>
  <si>
    <t>TRX-000451</t>
  </si>
  <si>
    <t>TRX-000469</t>
  </si>
  <si>
    <t>TRX-000471</t>
  </si>
  <si>
    <t>TRX-000475</t>
  </si>
  <si>
    <t>TRX-000487</t>
  </si>
  <si>
    <t>TRX-000490</t>
  </si>
  <si>
    <t>TRX-000004</t>
  </si>
  <si>
    <t>TRX-000043</t>
  </si>
  <si>
    <t>TRX-000124</t>
  </si>
  <si>
    <t>TRX-000144</t>
  </si>
  <si>
    <t>TRX-000146</t>
  </si>
  <si>
    <t>TRX-000179</t>
  </si>
  <si>
    <t>TRX-000183</t>
  </si>
  <si>
    <t>TRX-000184</t>
  </si>
  <si>
    <t>TRX-000257</t>
  </si>
  <si>
    <t>TRX-000261</t>
  </si>
  <si>
    <t>TRX-000263</t>
  </si>
  <si>
    <t>TRX-000273</t>
  </si>
  <si>
    <t>TRX-000286</t>
  </si>
  <si>
    <t>TRX-000315</t>
  </si>
  <si>
    <t>TRX-000344</t>
  </si>
  <si>
    <t>TRX-000394</t>
  </si>
  <si>
    <t>TRX-000425</t>
  </si>
  <si>
    <t>TRX-000440</t>
  </si>
  <si>
    <t>TRX-000479</t>
  </si>
  <si>
    <t>Año</t>
  </si>
  <si>
    <t>NumeroMes</t>
  </si>
  <si>
    <t>NombreMes</t>
  </si>
  <si>
    <t>Trimestre</t>
  </si>
  <si>
    <t>Dia</t>
  </si>
  <si>
    <t>NombreDia</t>
  </si>
  <si>
    <t>Julio</t>
  </si>
  <si>
    <t>T3</t>
  </si>
  <si>
    <t>Martes</t>
  </si>
  <si>
    <t>Miércoles</t>
  </si>
  <si>
    <t>Jueves</t>
  </si>
  <si>
    <t>Viernes</t>
  </si>
  <si>
    <t>Sábado</t>
  </si>
  <si>
    <t>Domingo</t>
  </si>
  <si>
    <t>Lunes</t>
  </si>
  <si>
    <t>Agosto</t>
  </si>
  <si>
    <t>Septiembre</t>
  </si>
  <si>
    <t>Abril</t>
  </si>
  <si>
    <t>T2</t>
  </si>
  <si>
    <t>Mayo</t>
  </si>
  <si>
    <t>Junio</t>
  </si>
  <si>
    <t>Octubre</t>
  </si>
  <si>
    <t>T4</t>
  </si>
  <si>
    <t>Noviembre</t>
  </si>
  <si>
    <t>Diciembre</t>
  </si>
  <si>
    <t>Enero</t>
  </si>
  <si>
    <t>T1</t>
  </si>
  <si>
    <t>Febrero</t>
  </si>
  <si>
    <t>Marzo</t>
  </si>
  <si>
    <t>Insecticida</t>
  </si>
  <si>
    <t>Cable</t>
  </si>
  <si>
    <t>Riego</t>
  </si>
  <si>
    <t>Fertilizante</t>
  </si>
  <si>
    <t>Sensor</t>
  </si>
  <si>
    <t>Caja</t>
  </si>
  <si>
    <t>Balde</t>
  </si>
  <si>
    <t>Corrector</t>
  </si>
  <si>
    <t>Cosechadora</t>
  </si>
  <si>
    <t>Lubricante</t>
  </si>
  <si>
    <t>Paleta</t>
  </si>
  <si>
    <t>Filtro</t>
  </si>
  <si>
    <t>Neumático</t>
  </si>
  <si>
    <t>Manguera</t>
  </si>
  <si>
    <t>Herbicida</t>
  </si>
  <si>
    <t>Producto</t>
  </si>
  <si>
    <t>Cliente</t>
  </si>
  <si>
    <t>Distribuidora Agropecuaria Norte</t>
  </si>
  <si>
    <t>Cooperativa Agrícola Cosechadora</t>
  </si>
  <si>
    <t>Insumos Campo</t>
  </si>
  <si>
    <t>Agroquímicos</t>
  </si>
  <si>
    <t>Lubricentro Agrícola</t>
  </si>
  <si>
    <t>Semillería y Fertilizante Litoral</t>
  </si>
  <si>
    <t>Maquinaria Agrícola</t>
  </si>
  <si>
    <t>Repuestos Agro</t>
  </si>
  <si>
    <t>Insumos Generales</t>
  </si>
  <si>
    <t xml:space="preserve">AgroCorralón </t>
  </si>
  <si>
    <t>Distribuidora del Sur</t>
  </si>
  <si>
    <t>RiegoTec</t>
  </si>
  <si>
    <t xml:space="preserve">AgroInsumos </t>
  </si>
  <si>
    <t>Central Agro</t>
  </si>
  <si>
    <t xml:space="preserve">AgroRepuestos </t>
  </si>
  <si>
    <t>Cooperativa Agroindustrial</t>
  </si>
  <si>
    <t>Establecimiento Don Balde SRL</t>
  </si>
  <si>
    <t>Servicios Agrícolas</t>
  </si>
  <si>
    <t xml:space="preserve">AgroQuímica </t>
  </si>
  <si>
    <t>Distribuidora de Fertilizante</t>
  </si>
  <si>
    <t>Repuestos Agrícolas La Caja</t>
  </si>
  <si>
    <t>Lubricantes y Baldes</t>
  </si>
  <si>
    <t xml:space="preserve">AgroCampo </t>
  </si>
  <si>
    <t>Hidráulica Agrícola</t>
  </si>
  <si>
    <t>Neumáticos Patagonia</t>
  </si>
  <si>
    <t>Todo para Riego</t>
  </si>
  <si>
    <t xml:space="preserve">Agro Servicios </t>
  </si>
  <si>
    <t>El Trébol</t>
  </si>
  <si>
    <t>Taller Neumático y Filtro</t>
  </si>
  <si>
    <t>Green Garden</t>
  </si>
  <si>
    <t>Media</t>
  </si>
  <si>
    <t>Error típico</t>
  </si>
  <si>
    <t>Mediana</t>
  </si>
  <si>
    <t>Moda</t>
  </si>
  <si>
    <t>Desviación estándar</t>
  </si>
  <si>
    <t>Varianza de la muestra</t>
  </si>
  <si>
    <t>Curtosis</t>
  </si>
  <si>
    <t>Coeficiente de asimetría</t>
  </si>
  <si>
    <t>Rango</t>
  </si>
  <si>
    <t>Mínimo</t>
  </si>
  <si>
    <t>Máximo</t>
  </si>
  <si>
    <t>Suma</t>
  </si>
  <si>
    <t>Cuenta</t>
  </si>
  <si>
    <t>Observaciones</t>
  </si>
  <si>
    <t>Variable principal</t>
  </si>
  <si>
    <t>Ventas</t>
  </si>
  <si>
    <t>Estadistica Descriptiva</t>
  </si>
  <si>
    <t>MODELO FINANCIERO</t>
  </si>
  <si>
    <t>Unidades vendidas</t>
  </si>
  <si>
    <t>Precio unitario</t>
  </si>
  <si>
    <t>Costo unitario</t>
  </si>
  <si>
    <t>Costo de envío</t>
  </si>
  <si>
    <t>Tasa de interés</t>
  </si>
  <si>
    <t>Costo productos</t>
  </si>
  <si>
    <t>Intereses</t>
  </si>
  <si>
    <t>Beneficio neto</t>
  </si>
  <si>
    <t>Resumen del escenario</t>
  </si>
  <si>
    <t>Valores actuales:</t>
  </si>
  <si>
    <t>Pesimista</t>
  </si>
  <si>
    <t>Optimista</t>
  </si>
  <si>
    <t>Base</t>
  </si>
  <si>
    <t>Celdas cambiantes:</t>
  </si>
  <si>
    <t>Celdas de resultado:</t>
  </si>
  <si>
    <t>Notas: La columna de valores actuales representa los valores de las celdas cambiantes</t>
  </si>
  <si>
    <t>en el momento en que se creó el Informe resumen de escenario. Las celdas cambiantes de</t>
  </si>
  <si>
    <t>cada escenario se muestran en gris.</t>
  </si>
  <si>
    <t>$B$11</t>
  </si>
  <si>
    <t>Los escenarios se construyeron tomando como referencia el comportamiento histórico y modificando las variables críticas para evaluar diferentes condiciones financieras.</t>
  </si>
  <si>
    <t>$B$2</t>
  </si>
  <si>
    <t>$B$5</t>
  </si>
  <si>
    <t>$B$6</t>
  </si>
  <si>
    <t>Creado por Viviana el 14/9/2026
Modificado por Viviana el 14/9/2026</t>
  </si>
  <si>
    <t>Resumen de escenarios financieros</t>
  </si>
  <si>
    <r>
      <rPr>
        <b/>
        <sz val="12"/>
        <color theme="1"/>
        <rFont val="Cambria"/>
        <family val="1"/>
      </rPr>
      <t>Escenario pesimista:</t>
    </r>
    <r>
      <rPr>
        <sz val="12"/>
        <color theme="1"/>
        <rFont val="Cambria"/>
        <family val="1"/>
      </rPr>
      <t xml:space="preserve"> contempla una disminución de la demanda a </t>
    </r>
    <r>
      <rPr>
        <b/>
        <sz val="12"/>
        <color theme="1"/>
        <rFont val="Cambria"/>
        <family val="1"/>
      </rPr>
      <t>700 unidades</t>
    </r>
    <r>
      <rPr>
        <sz val="12"/>
        <color theme="1"/>
        <rFont val="Cambria"/>
        <family val="1"/>
      </rPr>
      <t xml:space="preserve">, junto con un aumento del costo de envío a </t>
    </r>
    <r>
      <rPr>
        <b/>
        <sz val="12"/>
        <color theme="1"/>
        <rFont val="Cambria"/>
        <family val="1"/>
      </rPr>
      <t>$150.000</t>
    </r>
    <r>
      <rPr>
        <sz val="12"/>
        <color theme="1"/>
        <rFont val="Cambria"/>
        <family val="1"/>
      </rPr>
      <t xml:space="preserve"> y una tasa de interés del </t>
    </r>
    <r>
      <rPr>
        <b/>
        <sz val="12"/>
        <color theme="1"/>
        <rFont val="Cambria"/>
        <family val="1"/>
      </rPr>
      <t>12%</t>
    </r>
    <r>
      <rPr>
        <sz val="12"/>
        <color theme="1"/>
        <rFont val="Cambria"/>
        <family val="1"/>
      </rPr>
      <t xml:space="preserve">. Bajo estas condiciones, el beneficio neto estimado es de </t>
    </r>
    <r>
      <rPr>
        <b/>
        <sz val="12"/>
        <color theme="1"/>
        <rFont val="Cambria"/>
        <family val="1"/>
      </rPr>
      <t>$46.000</t>
    </r>
    <r>
      <rPr>
        <sz val="12"/>
        <color theme="1"/>
        <rFont val="Cambria"/>
        <family val="1"/>
      </rPr>
      <t>, mostrando una situación de menor rentabilidad.</t>
    </r>
  </si>
  <si>
    <r>
      <rPr>
        <b/>
        <sz val="12"/>
        <color theme="1"/>
        <rFont val="Cambria"/>
        <family val="1"/>
      </rPr>
      <t>Escenario base (actual):</t>
    </r>
    <r>
      <rPr>
        <sz val="12"/>
        <color theme="1"/>
        <rFont val="Cambria"/>
        <family val="1"/>
      </rPr>
      <t xml:space="preserve"> mantiene las condiciones actuales de </t>
    </r>
    <r>
      <rPr>
        <b/>
        <sz val="12"/>
        <color theme="1"/>
        <rFont val="Cambria"/>
        <family val="1"/>
      </rPr>
      <t>1.000 unidades vendidas</t>
    </r>
    <r>
      <rPr>
        <sz val="12"/>
        <color theme="1"/>
        <rFont val="Cambria"/>
        <family val="1"/>
      </rPr>
      <t xml:space="preserve">, </t>
    </r>
    <r>
      <rPr>
        <b/>
        <sz val="12"/>
        <color theme="1"/>
        <rFont val="Cambria"/>
        <family val="1"/>
      </rPr>
      <t>$100.000 de costo de envío</t>
    </r>
    <r>
      <rPr>
        <sz val="12"/>
        <color theme="1"/>
        <rFont val="Cambria"/>
        <family val="1"/>
      </rPr>
      <t xml:space="preserve"> y </t>
    </r>
    <r>
      <rPr>
        <b/>
        <sz val="12"/>
        <color theme="1"/>
        <rFont val="Cambria"/>
        <family val="1"/>
      </rPr>
      <t>8% de tasa de interés</t>
    </r>
    <r>
      <rPr>
        <sz val="12"/>
        <color theme="1"/>
        <rFont val="Cambria"/>
        <family val="1"/>
      </rPr>
      <t xml:space="preserve">. El beneficio neto estimado es de </t>
    </r>
    <r>
      <rPr>
        <b/>
        <sz val="12"/>
        <color theme="1"/>
        <rFont val="Cambria"/>
        <family val="1"/>
      </rPr>
      <t>$220.000</t>
    </r>
    <r>
      <rPr>
        <sz val="12"/>
        <color theme="1"/>
        <rFont val="Cambria"/>
        <family val="1"/>
      </rPr>
      <t>, funcionando como referencia para comparar los demás escenarios.</t>
    </r>
  </si>
  <si>
    <r>
      <rPr>
        <b/>
        <sz val="12"/>
        <color theme="1"/>
        <rFont val="Cambria"/>
        <family val="1"/>
      </rPr>
      <t>Escenario optimista:</t>
    </r>
    <r>
      <rPr>
        <sz val="12"/>
        <color theme="1"/>
        <rFont val="Cambria"/>
        <family val="1"/>
      </rPr>
      <t xml:space="preserve"> supone un aumento de la demanda a </t>
    </r>
    <r>
      <rPr>
        <b/>
        <sz val="12"/>
        <color theme="1"/>
        <rFont val="Cambria"/>
        <family val="1"/>
      </rPr>
      <t>1.300 unidades</t>
    </r>
    <r>
      <rPr>
        <sz val="12"/>
        <color theme="1"/>
        <rFont val="Cambria"/>
        <family val="1"/>
      </rPr>
      <t xml:space="preserve">, una reducción del costo de envío a </t>
    </r>
    <r>
      <rPr>
        <b/>
        <sz val="12"/>
        <color theme="1"/>
        <rFont val="Cambria"/>
        <family val="1"/>
      </rPr>
      <t>$70.000</t>
    </r>
    <r>
      <rPr>
        <sz val="12"/>
        <color theme="1"/>
        <rFont val="Cambria"/>
        <family val="1"/>
      </rPr>
      <t xml:space="preserve"> y una tasa de interés del </t>
    </r>
    <r>
      <rPr>
        <b/>
        <sz val="12"/>
        <color theme="1"/>
        <rFont val="Cambria"/>
        <family val="1"/>
      </rPr>
      <t>5%</t>
    </r>
    <r>
      <rPr>
        <sz val="12"/>
        <color theme="1"/>
        <rFont val="Cambria"/>
        <family val="1"/>
      </rPr>
      <t xml:space="preserve">. El beneficio neto alcanzaría aproximadamente </t>
    </r>
    <r>
      <rPr>
        <b/>
        <sz val="12"/>
        <color theme="1"/>
        <rFont val="Cambria"/>
        <family val="1"/>
      </rPr>
      <t>$385.000</t>
    </r>
    <r>
      <rPr>
        <sz val="12"/>
        <color theme="1"/>
        <rFont val="Cambria"/>
        <family val="1"/>
      </rPr>
      <t>, reflejando una mejora significativa de la rentabilidad.</t>
    </r>
  </si>
  <si>
    <r>
      <t>Conclusión:</t>
    </r>
    <r>
      <rPr>
        <sz val="12"/>
        <color theme="1"/>
        <rFont val="Cambria"/>
        <family val="1"/>
      </rPr>
      <t xml:space="preserve"> el análisis muestra que la </t>
    </r>
    <r>
      <rPr>
        <b/>
        <sz val="12"/>
        <color theme="1"/>
        <rFont val="Cambria"/>
        <family val="1"/>
      </rPr>
      <t>demanda, los costos logísticos y la tasa de interés</t>
    </r>
    <r>
      <rPr>
        <sz val="12"/>
        <color theme="1"/>
        <rFont val="Cambria"/>
        <family val="1"/>
      </rPr>
      <t xml:space="preserve"> tienen un impacto importante sobre el beneficio neto. Mientras que el escenario pesimista reduce considerablemente la rentabilidad, el escenario optimista permite incrementar el beneficio respecto de la situación actual.</t>
    </r>
  </si>
  <si>
    <t>Ventas Totales</t>
  </si>
  <si>
    <t>Beneficio Total</t>
  </si>
  <si>
    <t>Margen %</t>
  </si>
  <si>
    <t>Unidades Vendidas</t>
  </si>
  <si>
    <t>Total general</t>
  </si>
  <si>
    <t>Fecha (índice de meses)</t>
  </si>
  <si>
    <t>Fecha (mes)</t>
  </si>
  <si>
    <t>feb</t>
  </si>
  <si>
    <t>oct</t>
  </si>
  <si>
    <t>ene</t>
  </si>
  <si>
    <t>ago</t>
  </si>
  <si>
    <t>abr</t>
  </si>
  <si>
    <t>may</t>
  </si>
  <si>
    <t>jul</t>
  </si>
  <si>
    <t>jun</t>
  </si>
  <si>
    <t>dic</t>
  </si>
  <si>
    <t>sept</t>
  </si>
  <si>
    <t>mar</t>
  </si>
  <si>
    <t>nov</t>
  </si>
  <si>
    <t>Etiquetas de fila</t>
  </si>
  <si>
    <t>DASHBOARD EJECUTIVO FINANCIERO: Análisis de ventas, rentabilidad y comportamiento comercial</t>
  </si>
  <si>
    <t>Conclusiones del Dashboard</t>
  </si>
  <si>
    <t>DOCUMENTACIÓN DE ANÁLISIS ASISTIDO POR IA</t>
  </si>
  <si>
    <t>1. Alto nivel de rentabilidad</t>
  </si>
  <si>
    <t>El Dashboard muestra Ventas Totales de $1.376.471.572 y un Beneficio Total de $506.454.215, lo que representa un margen del 36,79%. Esto indica que, en el período analizado, una parte significativa de los ingresos generados se transforma en beneficio, reflejando un desempeño financiero positivo.</t>
  </si>
  <si>
    <t>Durante el período analizado se registraron 16.461 unidades vendidas, generando más de $1.376 millones en ventas. Esto demuestra la importancia del volumen comercial en el resultado del negocio y permite utilizar las unidades vendidas como un KPI clave para monitorear la evolución de la actividad.</t>
  </si>
  <si>
    <t>2. El volumen de operaciones sostiene el resultado</t>
  </si>
  <si>
    <t>3. Necesidad de analizar el desempeño por canal, región y tiempo</t>
  </si>
  <si>
    <t>Aunque los indicadores generales muestran un resultado positivo, el Dashboard permite profundizar el análisis mediante la evolución mensual, las ventas por canal y el beneficio por región. Por ello, resulta importante identificar qué meses, canales y regiones concentran los mejores resultados, ya que el desempeño total de $506.454.215 de beneficio puede estar distribuido de manera desigual entre las diferentes dimensiones del negocio.</t>
  </si>
  <si>
    <t>PROMPT USADO</t>
  </si>
  <si>
    <t>Actuá como abogado del diablo sobre estas 3 conclusiones de un dashboard de ventas. Para cada una, decime qué sesgos, errores de lógica, variables omitidas o explicaciones alternativas podría haber que no estoy considerando.</t>
  </si>
  <si>
    <t>RESPUESTA</t>
  </si>
  <si>
    <r>
      <t xml:space="preserve">Sí. Si actuamos como </t>
    </r>
    <r>
      <rPr>
        <b/>
        <sz val="12"/>
        <color theme="1"/>
        <rFont val="Georgia"/>
        <family val="2"/>
      </rPr>
      <t>“abogado del diablo”</t>
    </r>
    <r>
      <rPr>
        <sz val="12"/>
        <color theme="1"/>
        <rFont val="Georgia"/>
        <family val="2"/>
      </rPr>
      <t>, la idea es cuestionar si los números realmente permiten afirmar lo que estamos diciendo. Tus tres conclusiones son razonables, pero algunas están formuladas con más seguridad de la que los datos permiten.</t>
    </r>
  </si>
  <si>
    <t>Conclusión</t>
  </si>
  <si>
    <t>Posible problema</t>
  </si>
  <si>
    <t>Qué deberíamos verificar</t>
  </si>
  <si>
    <r>
      <t xml:space="preserve">Un margen del 36,79% no necesariamente significa que el negocio tenga una rentabilidad global “alta”. Tu campo </t>
    </r>
    <r>
      <rPr>
        <sz val="10"/>
        <color theme="1"/>
        <rFont val="Arial Unicode MS"/>
      </rPr>
      <t>Beneficio</t>
    </r>
    <r>
      <rPr>
        <sz val="12"/>
        <color theme="1"/>
        <rFont val="Georgia"/>
        <family val="2"/>
      </rPr>
      <t xml:space="preserve"> descuenta determinados costos, pero podrían faltar otros gastos.</t>
    </r>
  </si>
  <si>
    <t>Confirmar qué costos están incluidos: administración, salarios, impuestos, marketing, devoluciones, etc.</t>
  </si>
  <si>
    <t>2. El volumen sostiene el resultado</t>
  </si>
  <si>
    <t>Tener 16.461 unidades vendidas y $1.376 millones de ventas no demuestra por sí solo que el volumen sea la causa del beneficio. También pueden influir precio, costos y composición de productos.</t>
  </si>
  <si>
    <t>Analizar beneficio por unidad, precio promedio, costo unitario y evolución de unidades vs. beneficio.</t>
  </si>
  <si>
    <t>3. Hay que analizar canal, región y tiempo</t>
  </si>
  <si>
    <t>Es correcto como recomendación, pero decir que existen “mejores” o “peores” canales/regiones requiere evidencia del Dashboard. Además, una diferencia puede deberse a que un canal simplemente tiene más volumen.</t>
  </si>
  <si>
    <r>
      <t xml:space="preserve">Comparar ventas </t>
    </r>
    <r>
      <rPr>
        <b/>
        <sz val="12"/>
        <color theme="1"/>
        <rFont val="Georgia"/>
        <family val="2"/>
      </rPr>
      <t>y</t>
    </r>
    <r>
      <rPr>
        <sz val="12"/>
        <color theme="1"/>
        <rFont val="Georgia"/>
        <family val="2"/>
      </rPr>
      <t xml:space="preserve"> beneficio/margen por canal y región, idealmente también por período.</t>
    </r>
  </si>
  <si>
    <t>Mejor conclusión</t>
  </si>
  <si>
    <t>El Dashboard registra $1.376.471.572 en ventas y $506.454.215 de beneficio, alcanzando un margen del 36,79% según los costos contemplados en el modelo, lo que evidencia un resultado positivo durante el período analizado.</t>
  </si>
  <si>
    <t>Las 16.461 unidades vendidas representan un volumen comercial significativo; sin embargo, el resultado económico no depende únicamente de la cantidad vendida, sino también de los precios, costos y composición de las operaciones.</t>
  </si>
  <si>
    <t>El análisis por canal, región y período permite detectar diferencias en el desempeño comercial y financiero. Para tomar decisiones, es conveniente evaluar conjuntamente ventas, beneficio y margen, evitando concluir que un segmento es mejor únicamente por generar mayor facturación.</t>
  </si>
  <si>
    <t>REFINAMIENTO APLICADO</t>
  </si>
  <si>
    <t>Beneficio por unidad</t>
  </si>
  <si>
    <t>1. Agrego una nota explicativa debajo de los KPI, como mejora importante y sencilla. Esto responde directamente a uno de los principales cuestionamientos: no confundir facturación con rentabilidad.</t>
  </si>
  <si>
    <t>2. Agregar un KPI complementario: Beneficio por unidad por medio de una formula (TOTAL de Ventas/TOTAL de Unidades)</t>
  </si>
  <si>
    <t>4. Mantendría el gráfico de Beneficio por Región, porque el beneficio absoluto debe interpretarse junto con el volumen de ventas y el margen.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</si>
</sst>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 #,##0.00_-;\-&quot;$&quot;\ * #,##0.00_-;_-&quot;$&quot;\ * &quot;-&quot;??_-;_-@_-"/>
    <numFmt numFmtId="43" formatCode="_-* #,##0.00_-;\-* #,##0.00_-;_-* &quot;-&quot;??_-;_-@_-"/>
    <numFmt numFmtId="164" formatCode="_-* #,##0_-;\-* #,##0_-;_-* &quot;-&quot;??_-;_-@_-"/>
    <numFmt numFmtId="165" formatCode="_-&quot;$&quot;\ * #,##0_-;\-&quot;$&quot;\ * #,##0_-;_-&quot;$&quot;\ * &quot;-&quot;??_-;_-@_-"/>
  </numFmts>
  <fonts count="43">
    <font>
      <sz val="12"/>
      <color theme="1"/>
      <name val="Georgia"/>
      <family val="2"/>
    </font>
    <font>
      <sz val="12"/>
      <color theme="1"/>
      <name val="Georgia"/>
      <family val="2"/>
    </font>
    <font>
      <sz val="18"/>
      <color theme="3"/>
      <name val="Aptos Display"/>
      <family val="2"/>
      <scheme val="major"/>
    </font>
    <font>
      <b/>
      <sz val="15"/>
      <color theme="3"/>
      <name val="Georgia"/>
      <family val="2"/>
    </font>
    <font>
      <b/>
      <sz val="13"/>
      <color theme="3"/>
      <name val="Georgia"/>
      <family val="2"/>
    </font>
    <font>
      <b/>
      <sz val="11"/>
      <color theme="3"/>
      <name val="Georgia"/>
      <family val="2"/>
    </font>
    <font>
      <sz val="12"/>
      <color rgb="FF006100"/>
      <name val="Georgia"/>
      <family val="2"/>
    </font>
    <font>
      <sz val="12"/>
      <color rgb="FF9C0006"/>
      <name val="Georgia"/>
      <family val="2"/>
    </font>
    <font>
      <sz val="12"/>
      <color rgb="FF9C5700"/>
      <name val="Georgia"/>
      <family val="2"/>
    </font>
    <font>
      <sz val="12"/>
      <color rgb="FF3F3F76"/>
      <name val="Georgia"/>
      <family val="2"/>
    </font>
    <font>
      <b/>
      <sz val="12"/>
      <color rgb="FF3F3F3F"/>
      <name val="Georgia"/>
      <family val="2"/>
    </font>
    <font>
      <b/>
      <sz val="12"/>
      <color rgb="FFFA7D00"/>
      <name val="Georgia"/>
      <family val="2"/>
    </font>
    <font>
      <sz val="12"/>
      <color rgb="FFFA7D00"/>
      <name val="Georgia"/>
      <family val="2"/>
    </font>
    <font>
      <b/>
      <sz val="12"/>
      <color theme="0"/>
      <name val="Georgia"/>
      <family val="2"/>
    </font>
    <font>
      <sz val="12"/>
      <color rgb="FFFF0000"/>
      <name val="Georgia"/>
      <family val="2"/>
    </font>
    <font>
      <i/>
      <sz val="12"/>
      <color rgb="FF7F7F7F"/>
      <name val="Georgia"/>
      <family val="2"/>
    </font>
    <font>
      <b/>
      <sz val="12"/>
      <color theme="1"/>
      <name val="Georgia"/>
      <family val="2"/>
    </font>
    <font>
      <sz val="12"/>
      <color theme="0"/>
      <name val="Georgia"/>
      <family val="2"/>
    </font>
    <font>
      <sz val="12"/>
      <color theme="1"/>
      <name val="Cambria"/>
      <family val="1"/>
    </font>
    <font>
      <b/>
      <sz val="12"/>
      <color theme="1"/>
      <name val="Cambria"/>
      <family val="1"/>
    </font>
    <font>
      <b/>
      <i/>
      <sz val="12"/>
      <color theme="0"/>
      <name val="Cambria"/>
      <family val="1"/>
    </font>
    <font>
      <b/>
      <i/>
      <sz val="12"/>
      <color rgb="FF7030A0"/>
      <name val="Cambria"/>
      <family val="1"/>
    </font>
    <font>
      <b/>
      <sz val="14"/>
      <color theme="1"/>
      <name val="Cambria"/>
      <family val="1"/>
    </font>
    <font>
      <b/>
      <sz val="14"/>
      <color indexed="9"/>
      <name val="Cambria"/>
      <family val="1"/>
    </font>
    <font>
      <sz val="11"/>
      <color indexed="9"/>
      <name val="Cambria"/>
      <family val="1"/>
    </font>
    <font>
      <b/>
      <sz val="12"/>
      <color indexed="8"/>
      <name val="Cambria"/>
      <family val="1"/>
    </font>
    <font>
      <b/>
      <sz val="12"/>
      <color indexed="18"/>
      <name val="Cambria"/>
      <family val="1"/>
    </font>
    <font>
      <b/>
      <sz val="13.5"/>
      <color theme="0"/>
      <name val="Cambria"/>
      <family val="1"/>
    </font>
    <font>
      <sz val="12"/>
      <color theme="0"/>
      <name val="Cambria"/>
      <family val="1"/>
    </font>
    <font>
      <b/>
      <sz val="11"/>
      <color indexed="9"/>
      <name val="Cambria"/>
      <family val="1"/>
    </font>
    <font>
      <b/>
      <sz val="8"/>
      <color theme="1"/>
      <name val="Cambria"/>
      <family val="1"/>
    </font>
    <font>
      <sz val="8"/>
      <name val="Georgia"/>
      <family val="2"/>
    </font>
    <font>
      <sz val="14"/>
      <color theme="1"/>
      <name val="Georgia"/>
      <family val="2"/>
    </font>
    <font>
      <sz val="14"/>
      <color theme="0"/>
      <name val="Georgia"/>
      <family val="2"/>
    </font>
    <font>
      <b/>
      <sz val="16"/>
      <color theme="8"/>
      <name val="Georgia"/>
      <family val="1"/>
    </font>
    <font>
      <b/>
      <sz val="13.5"/>
      <color theme="8"/>
      <name val="Georgia"/>
      <family val="2"/>
    </font>
    <font>
      <b/>
      <sz val="22"/>
      <color theme="1"/>
      <name val="Aptos Narrow"/>
      <family val="2"/>
      <scheme val="minor"/>
    </font>
    <font>
      <sz val="10"/>
      <color theme="1"/>
      <name val="Arial Unicode MS"/>
    </font>
    <font>
      <b/>
      <sz val="12"/>
      <color theme="1"/>
      <name val="Georgia"/>
      <family val="1"/>
    </font>
    <font>
      <sz val="12"/>
      <color theme="1"/>
      <name val="Georgia"/>
      <family val="1"/>
    </font>
    <font>
      <b/>
      <sz val="20"/>
      <color theme="1"/>
      <name val="Aptos Narrow"/>
      <family val="2"/>
      <scheme val="minor"/>
    </font>
    <font>
      <sz val="12"/>
      <color theme="8"/>
      <name val="Georgia"/>
      <family val="2"/>
    </font>
    <font>
      <b/>
      <sz val="12"/>
      <color theme="0"/>
      <name val="Georgia"/>
      <family val="1"/>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030A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2" tint="-9.9978637043366805E-2"/>
        <bgColor indexed="64"/>
      </patternFill>
    </fill>
    <fill>
      <patternFill patternType="solid">
        <fgColor rgb="FF800080"/>
        <bgColor indexed="24"/>
      </patternFill>
    </fill>
    <fill>
      <patternFill patternType="solid">
        <fgColor rgb="FF800080"/>
        <bgColor indexed="64"/>
      </patternFill>
    </fill>
    <fill>
      <patternFill patternType="solid">
        <fgColor theme="8" tint="0.79998168889431442"/>
        <bgColor indexed="64"/>
      </patternFill>
    </fill>
    <fill>
      <patternFill patternType="solid">
        <fgColor theme="8"/>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top style="medium">
        <color indexed="64"/>
      </top>
      <bottom style="medium">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96">
    <xf numFmtId="0" fontId="0" fillId="0" borderId="0" xfId="0"/>
    <xf numFmtId="0" fontId="18" fillId="0" borderId="0" xfId="0" applyFont="1"/>
    <xf numFmtId="164" fontId="18" fillId="0" borderId="0" xfId="42" applyNumberFormat="1" applyFont="1"/>
    <xf numFmtId="9" fontId="18" fillId="0" borderId="0" xfId="44" applyFont="1"/>
    <xf numFmtId="14" fontId="18" fillId="0" borderId="0" xfId="0" applyNumberFormat="1" applyFont="1"/>
    <xf numFmtId="0" fontId="18" fillId="0" borderId="0" xfId="0" applyFont="1" applyAlignment="1">
      <alignment horizontal="center"/>
    </xf>
    <xf numFmtId="14" fontId="18" fillId="0" borderId="0" xfId="0" applyNumberFormat="1" applyFont="1" applyAlignment="1">
      <alignment horizontal="center"/>
    </xf>
    <xf numFmtId="0" fontId="20" fillId="33" borderId="13" xfId="0" applyFont="1" applyFill="1" applyBorder="1" applyAlignment="1">
      <alignment horizontal="centerContinuous"/>
    </xf>
    <xf numFmtId="43" fontId="20" fillId="33" borderId="13" xfId="42" applyFont="1" applyFill="1" applyBorder="1" applyAlignment="1">
      <alignment horizontal="centerContinuous"/>
    </xf>
    <xf numFmtId="0" fontId="21" fillId="0" borderId="11" xfId="0" applyFont="1" applyBorder="1" applyAlignment="1">
      <alignment horizontal="centerContinuous"/>
    </xf>
    <xf numFmtId="43" fontId="21" fillId="0" borderId="11" xfId="42" applyFont="1" applyFill="1" applyBorder="1" applyAlignment="1">
      <alignment horizontal="centerContinuous"/>
    </xf>
    <xf numFmtId="43" fontId="18" fillId="0" borderId="0" xfId="42" applyFont="1" applyFill="1" applyBorder="1" applyAlignment="1"/>
    <xf numFmtId="0" fontId="18" fillId="0" borderId="11" xfId="0" applyFont="1" applyBorder="1"/>
    <xf numFmtId="43" fontId="18" fillId="0" borderId="11" xfId="42" applyFont="1" applyFill="1" applyBorder="1" applyAlignment="1"/>
    <xf numFmtId="43" fontId="18" fillId="0" borderId="0" xfId="42" applyFont="1"/>
    <xf numFmtId="0" fontId="18" fillId="0" borderId="14" xfId="0" applyFont="1" applyBorder="1" applyAlignment="1">
      <alignment vertical="center" wrapText="1"/>
    </xf>
    <xf numFmtId="43" fontId="18" fillId="0" borderId="14" xfId="42" applyFont="1" applyBorder="1" applyAlignment="1">
      <alignment horizontal="right" vertical="center" wrapText="1"/>
    </xf>
    <xf numFmtId="0" fontId="18" fillId="0" borderId="12" xfId="0" applyFont="1" applyBorder="1" applyAlignment="1">
      <alignment vertical="center" wrapText="1"/>
    </xf>
    <xf numFmtId="44" fontId="18" fillId="0" borderId="12" xfId="43" applyFont="1" applyBorder="1" applyAlignment="1">
      <alignment horizontal="right" vertical="center" wrapText="1"/>
    </xf>
    <xf numFmtId="9" fontId="18" fillId="0" borderId="12" xfId="44" applyFont="1" applyBorder="1" applyAlignment="1">
      <alignment horizontal="right" vertical="center" wrapText="1"/>
    </xf>
    <xf numFmtId="0" fontId="18" fillId="0" borderId="0" xfId="0" applyFont="1" applyAlignment="1">
      <alignment vertical="center" wrapText="1"/>
    </xf>
    <xf numFmtId="0" fontId="18" fillId="0" borderId="0" xfId="0" applyFont="1" applyAlignment="1">
      <alignment horizontal="right" vertical="center" wrapText="1"/>
    </xf>
    <xf numFmtId="44" fontId="18" fillId="0" borderId="14" xfId="43" applyFont="1" applyBorder="1" applyAlignment="1">
      <alignment horizontal="right" vertical="center" wrapText="1"/>
    </xf>
    <xf numFmtId="0" fontId="19" fillId="0" borderId="0" xfId="0" applyFont="1" applyAlignment="1">
      <alignment vertical="center" wrapText="1"/>
    </xf>
    <xf numFmtId="44" fontId="19" fillId="0" borderId="0" xfId="0" applyNumberFormat="1" applyFont="1" applyAlignment="1">
      <alignment horizontal="right" vertical="center" wrapText="1"/>
    </xf>
    <xf numFmtId="0" fontId="23" fillId="34" borderId="10" xfId="0" applyFont="1" applyFill="1" applyBorder="1" applyAlignment="1">
      <alignment horizontal="left"/>
    </xf>
    <xf numFmtId="0" fontId="24" fillId="34" borderId="10" xfId="0" applyFont="1" applyFill="1" applyBorder="1" applyAlignment="1">
      <alignment horizontal="right"/>
    </xf>
    <xf numFmtId="0" fontId="24" fillId="38" borderId="10" xfId="0" applyFont="1" applyFill="1" applyBorder="1" applyAlignment="1">
      <alignment horizontal="right"/>
    </xf>
    <xf numFmtId="0" fontId="23" fillId="34" borderId="14" xfId="0" applyFont="1" applyFill="1" applyBorder="1" applyAlignment="1">
      <alignment horizontal="left"/>
    </xf>
    <xf numFmtId="0" fontId="25" fillId="35" borderId="0" xfId="0" applyFont="1" applyFill="1" applyAlignment="1">
      <alignment horizontal="left"/>
    </xf>
    <xf numFmtId="0" fontId="26" fillId="35" borderId="12" xfId="0" applyFont="1" applyFill="1" applyBorder="1" applyAlignment="1">
      <alignment horizontal="left"/>
    </xf>
    <xf numFmtId="0" fontId="18" fillId="0" borderId="12" xfId="0" applyFont="1" applyBorder="1"/>
    <xf numFmtId="43" fontId="18" fillId="0" borderId="0" xfId="0" applyNumberFormat="1" applyFont="1"/>
    <xf numFmtId="43" fontId="18" fillId="36" borderId="0" xfId="0" applyNumberFormat="1" applyFont="1" applyFill="1"/>
    <xf numFmtId="44" fontId="18" fillId="0" borderId="0" xfId="0" applyNumberFormat="1" applyFont="1"/>
    <xf numFmtId="44" fontId="18" fillId="36" borderId="0" xfId="0" applyNumberFormat="1" applyFont="1" applyFill="1"/>
    <xf numFmtId="9" fontId="18" fillId="0" borderId="0" xfId="0" applyNumberFormat="1" applyFont="1"/>
    <xf numFmtId="9" fontId="18" fillId="36" borderId="0" xfId="0" applyNumberFormat="1" applyFont="1" applyFill="1"/>
    <xf numFmtId="0" fontId="25" fillId="35" borderId="11" xfId="0" applyFont="1" applyFill="1" applyBorder="1" applyAlignment="1">
      <alignment horizontal="left"/>
    </xf>
    <xf numFmtId="44" fontId="18" fillId="0" borderId="11" xfId="0" applyNumberFormat="1" applyFont="1" applyBorder="1"/>
    <xf numFmtId="0" fontId="27" fillId="39" borderId="0" xfId="0" applyFont="1" applyFill="1" applyAlignment="1">
      <alignment vertical="center"/>
    </xf>
    <xf numFmtId="0" fontId="28" fillId="39" borderId="0" xfId="0" applyFont="1" applyFill="1"/>
    <xf numFmtId="0" fontId="18" fillId="0" borderId="0" xfId="0" applyFont="1" applyAlignment="1">
      <alignment horizontal="left" vertical="center" indent="1"/>
    </xf>
    <xf numFmtId="0" fontId="29" fillId="34" borderId="14" xfId="0" applyFont="1" applyFill="1" applyBorder="1" applyAlignment="1">
      <alignment horizontal="right"/>
    </xf>
    <xf numFmtId="0" fontId="19" fillId="0" borderId="0" xfId="0" applyFont="1"/>
    <xf numFmtId="0" fontId="30" fillId="0" borderId="0" xfId="0" applyFont="1" applyAlignment="1">
      <alignment vertical="top" wrapText="1"/>
    </xf>
    <xf numFmtId="0" fontId="19" fillId="0" borderId="12" xfId="0" applyFont="1" applyBorder="1"/>
    <xf numFmtId="165" fontId="18" fillId="0" borderId="0" xfId="0" applyNumberFormat="1" applyFont="1"/>
    <xf numFmtId="10" fontId="18" fillId="0" borderId="0" xfId="0" applyNumberFormat="1" applyFont="1"/>
    <xf numFmtId="164" fontId="18" fillId="0" borderId="0" xfId="0" applyNumberFormat="1" applyFont="1"/>
    <xf numFmtId="0" fontId="0" fillId="0" borderId="0" xfId="0" pivotButton="1"/>
    <xf numFmtId="165" fontId="0" fillId="0" borderId="0" xfId="0" applyNumberFormat="1"/>
    <xf numFmtId="0" fontId="0" fillId="0" borderId="0" xfId="0" applyAlignment="1">
      <alignment horizontal="left"/>
    </xf>
    <xf numFmtId="0" fontId="32" fillId="0" borderId="0" xfId="0" applyFont="1"/>
    <xf numFmtId="0" fontId="32" fillId="0" borderId="0" xfId="0" applyFont="1" applyAlignment="1">
      <alignment vertical="center"/>
    </xf>
    <xf numFmtId="165" fontId="33" fillId="0" borderId="14" xfId="0" applyNumberFormat="1" applyFont="1" applyBorder="1" applyAlignment="1">
      <alignment vertical="center"/>
    </xf>
    <xf numFmtId="0" fontId="0" fillId="40" borderId="0" xfId="0" applyFill="1"/>
    <xf numFmtId="165" fontId="32" fillId="40" borderId="14" xfId="0" applyNumberFormat="1" applyFont="1" applyFill="1" applyBorder="1" applyAlignment="1">
      <alignment vertical="center"/>
    </xf>
    <xf numFmtId="10" fontId="32" fillId="40" borderId="14" xfId="0" applyNumberFormat="1" applyFont="1" applyFill="1" applyBorder="1" applyAlignment="1">
      <alignment vertical="center"/>
    </xf>
    <xf numFmtId="164" fontId="32" fillId="40" borderId="14" xfId="0" applyNumberFormat="1" applyFont="1" applyFill="1" applyBorder="1" applyAlignment="1">
      <alignment vertical="center"/>
    </xf>
    <xf numFmtId="0" fontId="0" fillId="0" borderId="0" xfId="0" applyAlignment="1">
      <alignment horizontal="left" vertical="center" indent="1"/>
    </xf>
    <xf numFmtId="0" fontId="35" fillId="0" borderId="0" xfId="0" applyFont="1" applyAlignment="1">
      <alignment vertical="center"/>
    </xf>
    <xf numFmtId="0" fontId="0" fillId="0" borderId="0" xfId="0" applyAlignment="1">
      <alignment horizontal="left" vertical="center" wrapText="1"/>
    </xf>
    <xf numFmtId="0" fontId="16" fillId="40" borderId="0" xfId="0" applyFont="1" applyFill="1" applyAlignment="1">
      <alignment horizontal="left" vertical="center" indent="1"/>
    </xf>
    <xf numFmtId="0" fontId="42" fillId="41" borderId="0" xfId="0" applyFont="1" applyFill="1" applyAlignment="1">
      <alignment vertical="center"/>
    </xf>
    <xf numFmtId="0" fontId="41" fillId="41" borderId="0" xfId="0" applyFont="1" applyFill="1" applyAlignment="1">
      <alignment vertical="center"/>
    </xf>
    <xf numFmtId="44" fontId="0" fillId="40" borderId="14" xfId="43" applyFont="1" applyFill="1" applyBorder="1" applyAlignment="1">
      <alignment vertical="center"/>
    </xf>
    <xf numFmtId="0" fontId="34" fillId="40" borderId="19" xfId="0" applyFont="1" applyFill="1" applyBorder="1" applyAlignment="1">
      <alignment horizontal="center" vertical="center"/>
    </xf>
    <xf numFmtId="0" fontId="34" fillId="40" borderId="13" xfId="0" applyFont="1" applyFill="1" applyBorder="1" applyAlignment="1">
      <alignment horizontal="center" vertical="center"/>
    </xf>
    <xf numFmtId="0" fontId="34" fillId="40" borderId="20" xfId="0" applyFont="1" applyFill="1" applyBorder="1" applyAlignment="1">
      <alignment horizontal="center" vertical="center"/>
    </xf>
    <xf numFmtId="0" fontId="22" fillId="37" borderId="0" xfId="0" applyFont="1" applyFill="1" applyAlignment="1">
      <alignment horizontal="left" vertical="center" wrapText="1"/>
    </xf>
    <xf numFmtId="0" fontId="19" fillId="0" borderId="0" xfId="0" applyFont="1" applyAlignment="1">
      <alignment horizontal="left" vertical="top" wrapText="1"/>
    </xf>
    <xf numFmtId="0" fontId="18" fillId="0" borderId="0" xfId="0" applyFont="1" applyAlignment="1">
      <alignment horizontal="left" vertical="center" wrapText="1"/>
    </xf>
    <xf numFmtId="0" fontId="0" fillId="0" borderId="0" xfId="0" applyAlignment="1">
      <alignment horizontal="left" wrapText="1"/>
    </xf>
    <xf numFmtId="0" fontId="0" fillId="0" borderId="0" xfId="0" applyAlignment="1">
      <alignment horizontal="left" vertical="center" wrapText="1"/>
    </xf>
    <xf numFmtId="0" fontId="36" fillId="0" borderId="0" xfId="0" applyFont="1" applyAlignment="1">
      <alignment horizontal="center" vertical="center"/>
    </xf>
    <xf numFmtId="0" fontId="0" fillId="0" borderId="0" xfId="0" applyAlignment="1">
      <alignment horizontal="left" vertical="top" wrapText="1"/>
    </xf>
    <xf numFmtId="0" fontId="16" fillId="0" borderId="17"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8" xfId="0" applyFont="1" applyBorder="1" applyAlignment="1">
      <alignment horizontal="center" vertical="center" wrapText="1"/>
    </xf>
    <xf numFmtId="0" fontId="40" fillId="0" borderId="0" xfId="0" applyFont="1" applyAlignment="1">
      <alignment horizontal="center" vertical="center"/>
    </xf>
    <xf numFmtId="0" fontId="16" fillId="0" borderId="15"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16" xfId="0" applyFont="1" applyBorder="1" applyAlignment="1">
      <alignment horizontal="center"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38" fillId="0" borderId="17" xfId="0" applyFont="1" applyBorder="1" applyAlignment="1">
      <alignment horizontal="center" vertical="center"/>
    </xf>
    <xf numFmtId="0" fontId="38" fillId="0" borderId="12" xfId="0" applyFont="1" applyBorder="1" applyAlignment="1">
      <alignment horizontal="center" vertical="center"/>
    </xf>
    <xf numFmtId="0" fontId="38" fillId="0" borderId="18" xfId="0" applyFont="1" applyBorder="1" applyAlignment="1">
      <alignment horizontal="center" vertical="center"/>
    </xf>
    <xf numFmtId="0" fontId="39" fillId="0" borderId="17" xfId="0" applyFont="1" applyBorder="1" applyAlignment="1">
      <alignment horizontal="left" vertical="center" wrapText="1"/>
    </xf>
    <xf numFmtId="0" fontId="39" fillId="0" borderId="12" xfId="0" applyFont="1" applyBorder="1" applyAlignment="1">
      <alignment horizontal="left" vertical="center" wrapText="1"/>
    </xf>
    <xf numFmtId="0" fontId="39" fillId="0" borderId="18" xfId="0" applyFont="1" applyBorder="1" applyAlignment="1">
      <alignment horizontal="left" vertical="center" wrapText="1"/>
    </xf>
    <xf numFmtId="0" fontId="0" fillId="0" borderId="17" xfId="0" applyBorder="1" applyAlignment="1">
      <alignment horizontal="left" vertical="center" wrapText="1"/>
    </xf>
    <xf numFmtId="0" fontId="0" fillId="0" borderId="12" xfId="0" applyBorder="1" applyAlignment="1">
      <alignment horizontal="left" vertical="center" wrapText="1"/>
    </xf>
    <xf numFmtId="0" fontId="0" fillId="0" borderId="18" xfId="0" applyBorder="1" applyAlignment="1">
      <alignment horizontal="left" vertical="center" wrapText="1"/>
    </xf>
  </cellXfs>
  <cellStyles count="45">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Millares" xfId="42" builtinId="3"/>
    <cellStyle name="Moneda" xfId="43" builtinId="4"/>
    <cellStyle name="Neutral" xfId="8" builtinId="28" customBuiltin="1"/>
    <cellStyle name="Normal" xfId="0" builtinId="0"/>
    <cellStyle name="Notas" xfId="15" builtinId="10" customBuiltin="1"/>
    <cellStyle name="Porcentaje" xfId="44" builtinId="5"/>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88">
    <dxf>
      <numFmt numFmtId="165" formatCode="_-&quot;$&quot;\ * #,##0_-;\-&quot;$&quot;\ * #,##0_-;_-&quot;$&quot;\ * &quot;-&quot;??_-;_-@_-"/>
    </dxf>
    <dxf>
      <font>
        <name val="Cambria"/>
        <family val="1"/>
      </font>
    </dxf>
    <dxf>
      <font>
        <name val="Cambria"/>
        <family val="1"/>
      </font>
    </dxf>
    <dxf>
      <font>
        <name val="Cambria"/>
        <family val="1"/>
      </font>
    </dxf>
    <dxf>
      <numFmt numFmtId="165" formatCode="_-&quot;$&quot;\ * #,##0_-;\-&quot;$&quot;\ * #,##0_-;_-&quot;$&quot;\ * &quot;-&quot;??_-;_-@_-"/>
    </dxf>
    <dxf>
      <numFmt numFmtId="165" formatCode="_-&quot;$&quot;\ * #,##0_-;\-&quot;$&quot;\ * #,##0_-;_-&quot;$&quot;\ * &quot;-&quot;??_-;_-@_-"/>
    </dxf>
    <dxf>
      <numFmt numFmtId="165" formatCode="_-&quot;$&quot;\ * #,##0_-;\-&quot;$&quot;\ * #,##0_-;_-&quot;$&quot;\ * &quot;-&quot;??_-;_-@_-"/>
    </dxf>
    <dxf>
      <numFmt numFmtId="164" formatCode="_-* #,##0_-;\-* #,##0_-;_-* &quot;-&quot;??_-;_-@_-"/>
    </dxf>
    <dxf>
      <font>
        <name val="Cambria"/>
        <family val="1"/>
      </font>
    </dxf>
    <dxf>
      <font>
        <name val="Cambria"/>
        <family val="1"/>
      </font>
    </dxf>
    <dxf>
      <font>
        <name val="Cambria"/>
        <family val="1"/>
      </font>
    </dxf>
    <dxf>
      <numFmt numFmtId="165" formatCode="_-&quot;$&quot;\ * #,##0_-;\-&quot;$&quot;\ * #,##0_-;_-&quot;$&quot;\ * &quot;-&quot;??_-;_-@_-"/>
    </dxf>
    <dxf>
      <font>
        <name val="Cambria"/>
        <family val="1"/>
      </font>
    </dxf>
    <dxf>
      <font>
        <name val="Cambria"/>
        <family val="1"/>
      </font>
    </dxf>
    <dxf>
      <font>
        <name val="Cambria"/>
        <family val="1"/>
      </font>
    </dxf>
    <dxf>
      <numFmt numFmtId="14" formatCode="0.00%"/>
    </dxf>
    <dxf>
      <font>
        <name val="Cambria"/>
        <family val="1"/>
      </font>
    </dxf>
    <dxf>
      <font>
        <name val="Cambria"/>
        <family val="1"/>
      </font>
    </dxf>
    <dxf>
      <font>
        <name val="Cambria"/>
        <family val="1"/>
      </font>
    </dxf>
    <dxf>
      <font>
        <strike val="0"/>
        <outline val="0"/>
        <shadow val="0"/>
        <u val="none"/>
        <vertAlign val="baseline"/>
        <sz val="12"/>
        <color theme="1"/>
        <name val="Cambria"/>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Cambria"/>
        <family val="1"/>
        <scheme val="none"/>
      </font>
      <alignment horizontal="center" vertical="bottom" textRotation="0" wrapText="0" indent="0" justifyLastLine="0" shrinkToFit="0" readingOrder="0"/>
    </dxf>
    <dxf>
      <font>
        <strike val="0"/>
        <outline val="0"/>
        <shadow val="0"/>
        <u val="none"/>
        <vertAlign val="baseline"/>
        <sz val="12"/>
        <color theme="1"/>
        <name val="Cambria"/>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Cambria"/>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Cambria"/>
        <family val="1"/>
        <scheme val="none"/>
      </font>
      <alignment horizontal="center" vertical="bottom" textRotation="0" wrapText="0" indent="0" justifyLastLine="0" shrinkToFit="0" readingOrder="0"/>
    </dxf>
    <dxf>
      <font>
        <strike val="0"/>
        <outline val="0"/>
        <shadow val="0"/>
        <u val="none"/>
        <vertAlign val="baseline"/>
        <sz val="12"/>
        <color theme="1"/>
        <name val="Cambria"/>
        <family val="1"/>
        <scheme val="none"/>
      </font>
      <alignment horizontal="center" vertical="bottom" textRotation="0" wrapText="0" indent="0" justifyLastLine="0" shrinkToFit="0" readingOrder="0"/>
    </dxf>
    <dxf>
      <font>
        <strike val="0"/>
        <outline val="0"/>
        <shadow val="0"/>
        <u val="none"/>
        <vertAlign val="baseline"/>
        <sz val="12"/>
        <color theme="1"/>
        <name val="Cambria"/>
        <family val="1"/>
        <scheme val="none"/>
      </font>
      <numFmt numFmtId="19" formatCode="d/m/yyyy"/>
      <alignment horizontal="center" vertical="bottom" textRotation="0" wrapText="0" indent="0" justifyLastLine="0" shrinkToFit="0" readingOrder="0"/>
    </dxf>
    <dxf>
      <font>
        <strike val="0"/>
        <outline val="0"/>
        <shadow val="0"/>
        <u val="none"/>
        <vertAlign val="baseline"/>
        <sz val="12"/>
        <color theme="1"/>
        <name val="Cambria"/>
        <family val="1"/>
        <scheme val="none"/>
      </font>
      <alignment horizontal="center" vertical="bottom" textRotation="0" wrapText="0" indent="0" justifyLastLine="0" shrinkToFit="0" readingOrder="0"/>
    </dxf>
    <dxf>
      <font>
        <strike val="0"/>
        <outline val="0"/>
        <shadow val="0"/>
        <u val="none"/>
        <vertAlign val="baseline"/>
        <sz val="12"/>
        <color theme="1"/>
        <name val="Cambria"/>
        <family val="1"/>
        <scheme val="none"/>
      </font>
      <alignment horizontal="center" vertical="bottom" textRotation="0" wrapText="0" indent="0" justifyLastLine="0" shrinkToFit="0" readingOrder="0"/>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numFmt numFmtId="164" formatCode="_-* #,##0_-;\-* #,##0_-;_-* &quot;-&quot;??_-;_-@_-"/>
    </dxf>
    <dxf>
      <font>
        <strike val="0"/>
        <outline val="0"/>
        <shadow val="0"/>
        <u val="none"/>
        <vertAlign val="baseline"/>
        <sz val="12"/>
        <color theme="1"/>
        <name val="Cambria"/>
        <family val="1"/>
        <scheme val="none"/>
      </font>
      <numFmt numFmtId="164" formatCode="_-* #,##0_-;\-* #,##0_-;_-* &quot;-&quot;??_-;_-@_-"/>
    </dxf>
    <dxf>
      <font>
        <strike val="0"/>
        <outline val="0"/>
        <shadow val="0"/>
        <u val="none"/>
        <vertAlign val="baseline"/>
        <sz val="12"/>
        <color theme="1"/>
        <name val="Cambria"/>
        <family val="1"/>
        <scheme val="none"/>
      </font>
      <numFmt numFmtId="164" formatCode="_-* #,##0_-;\-* #,##0_-;_-* &quot;-&quot;??_-;_-@_-"/>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numFmt numFmtId="164" formatCode="_-* #,##0_-;\-* #,##0_-;_-* &quot;-&quot;??_-;_-@_-"/>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numFmt numFmtId="164" formatCode="_-* #,##0_-;\-* #,##0_-;_-* &quot;-&quot;??_-;_-@_-"/>
    </dxf>
    <dxf>
      <font>
        <strike val="0"/>
        <outline val="0"/>
        <shadow val="0"/>
        <u val="none"/>
        <vertAlign val="baseline"/>
        <sz val="12"/>
        <color theme="1"/>
        <name val="Cambria"/>
        <family val="1"/>
        <scheme val="none"/>
      </font>
      <numFmt numFmtId="164" formatCode="_-* #,##0_-;\-* #,##0_-;_-* &quot;-&quot;??_-;_-@_-"/>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numFmt numFmtId="19" formatCode="d/m/yyyy"/>
    </dxf>
    <dxf>
      <font>
        <strike val="0"/>
        <outline val="0"/>
        <shadow val="0"/>
        <u val="none"/>
        <vertAlign val="baseline"/>
        <sz val="12"/>
        <color theme="1"/>
        <name val="Cambria"/>
        <family val="1"/>
        <scheme val="none"/>
      </font>
      <numFmt numFmtId="0" formatCode="General"/>
    </dxf>
    <dxf>
      <font>
        <strike val="0"/>
        <outline val="0"/>
        <shadow val="0"/>
        <u val="none"/>
        <vertAlign val="baseline"/>
        <sz val="12"/>
        <color theme="1"/>
        <name val="Cambria"/>
        <family val="1"/>
        <scheme val="none"/>
      </font>
    </dxf>
    <dxf>
      <font>
        <strike val="0"/>
        <outline val="0"/>
        <shadow val="0"/>
        <u val="none"/>
        <vertAlign val="baseline"/>
        <sz val="12"/>
        <color theme="1"/>
        <name val="Cambria"/>
        <family val="1"/>
        <scheme val="none"/>
      </font>
    </dxf>
    <dxf>
      <border>
        <bottom style="thin">
          <color indexed="64"/>
        </bottom>
      </border>
    </dxf>
    <dxf>
      <alignment vertical="center"/>
    </dxf>
    <dxf>
      <font>
        <color theme="0"/>
      </font>
    </dxf>
    <dxf>
      <font>
        <sz val="14"/>
      </font>
    </dxf>
    <dxf>
      <font>
        <sz val="14"/>
      </font>
    </dxf>
    <dxf>
      <font>
        <sz val="14"/>
      </font>
    </dxf>
    <dxf>
      <numFmt numFmtId="165" formatCode="_-&quot;$&quot;\ * #,##0_-;\-&quot;$&quot;\ * #,##0_-;_-&quot;$&quot;\ * &quot;-&quot;??_-;_-@_-"/>
    </dxf>
    <dxf>
      <fill>
        <patternFill patternType="solid">
          <bgColor theme="8" tint="0.79998168889431442"/>
        </patternFill>
      </fill>
    </dxf>
    <dxf>
      <alignment vertical="center"/>
    </dxf>
    <dxf>
      <border>
        <bottom style="thin">
          <color indexed="64"/>
        </bottom>
      </border>
    </dxf>
    <dxf>
      <font>
        <sz val="14"/>
      </font>
    </dxf>
    <dxf>
      <font>
        <sz val="14"/>
      </font>
    </dxf>
    <dxf>
      <font>
        <sz val="14"/>
      </font>
    </dxf>
    <dxf>
      <numFmt numFmtId="165" formatCode="_-&quot;$&quot;\ * #,##0_-;\-&quot;$&quot;\ * #,##0_-;_-&quot;$&quot;\ * &quot;-&quot;??_-;_-@_-"/>
    </dxf>
    <dxf>
      <fill>
        <patternFill patternType="solid">
          <bgColor theme="8" tint="0.79998168889431442"/>
        </patternFill>
      </fill>
    </dxf>
    <dxf>
      <alignment vertical="center"/>
    </dxf>
    <dxf>
      <border>
        <bottom style="thin">
          <color indexed="64"/>
        </bottom>
      </border>
    </dxf>
    <dxf>
      <font>
        <sz val="14"/>
      </font>
    </dxf>
    <dxf>
      <font>
        <sz val="14"/>
      </font>
    </dxf>
    <dxf>
      <font>
        <sz val="14"/>
      </font>
    </dxf>
    <dxf>
      <numFmt numFmtId="164" formatCode="_-* #,##0_-;\-* #,##0_-;_-* &quot;-&quot;??_-;_-@_-"/>
    </dxf>
    <dxf>
      <fill>
        <patternFill patternType="solid">
          <bgColor theme="8" tint="0.79998168889431442"/>
        </patternFill>
      </fill>
    </dxf>
    <dxf>
      <alignment vertical="center"/>
    </dxf>
    <dxf>
      <border>
        <bottom style="thin">
          <color indexed="64"/>
        </bottom>
      </border>
    </dxf>
    <dxf>
      <font>
        <sz val="14"/>
      </font>
    </dxf>
    <dxf>
      <font>
        <sz val="14"/>
      </font>
    </dxf>
    <dxf>
      <font>
        <sz val="14"/>
      </font>
    </dxf>
    <dxf>
      <numFmt numFmtId="14" formatCode="0.00%"/>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1" defaultTableStyle="TableStyleMedium2" defaultPivotStyle="PivotStyleLight16">
    <tableStyle name="Estilo de segmentación de datos 1" pivot="0" table="0" count="0" xr9:uid="{8E0E657C-2EF4-4270-8719-6415361A1923}"/>
  </tableStyles>
  <colors>
    <mruColors>
      <color rgb="FF800080"/>
    </mruColors>
  </colors>
  <extLst>
    <ext xmlns:x14="http://schemas.microsoft.com/office/spreadsheetml/2009/9/main" uri="{EB79DEF2-80B8-43e5-95BD-54CBDDF9020C}">
      <x14:slicerStyles defaultSlicerStyle="SlicerStyleLight1">
        <x14:slicerStyle name="Estilo de segmentación de datos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0.xml"/><Relationship Id="rId42" Type="http://schemas.openxmlformats.org/officeDocument/2006/relationships/customXml" Target="../customXml/item8.xml"/><Relationship Id="rId47" Type="http://schemas.openxmlformats.org/officeDocument/2006/relationships/customXml" Target="../customXml/item13.xml"/><Relationship Id="rId63" Type="http://schemas.openxmlformats.org/officeDocument/2006/relationships/customXml" Target="../customXml/item29.xml"/><Relationship Id="rId68" Type="http://schemas.openxmlformats.org/officeDocument/2006/relationships/customXml" Target="../customXml/item34.xml"/><Relationship Id="rId7" Type="http://schemas.openxmlformats.org/officeDocument/2006/relationships/worksheet" Target="worksheets/sheet7.xml"/><Relationship Id="rId71" Type="http://schemas.openxmlformats.org/officeDocument/2006/relationships/customXml" Target="../customXml/item3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9" Type="http://schemas.openxmlformats.org/officeDocument/2006/relationships/connections" Target="connections.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openxmlformats.org/officeDocument/2006/relationships/powerPivotData" Target="model/item.data"/><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5" Type="http://schemas.openxmlformats.org/officeDocument/2006/relationships/worksheet" Target="worksheets/sheet5.xml"/><Relationship Id="rId61" Type="http://schemas.openxmlformats.org/officeDocument/2006/relationships/customXml" Target="../customXml/item27.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69" Type="http://schemas.openxmlformats.org/officeDocument/2006/relationships/customXml" Target="../customXml/item35.xml"/><Relationship Id="rId8" Type="http://schemas.openxmlformats.org/officeDocument/2006/relationships/worksheet" Target="worksheets/sheet8.xml"/><Relationship Id="rId51"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1.xml"/><Relationship Id="rId33" Type="http://schemas.microsoft.com/office/2017/10/relationships/person" Target="persons/person.xml"/><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9.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70" Type="http://schemas.openxmlformats.org/officeDocument/2006/relationships/customXml" Target="../customXml/item3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worksheet" Target="worksheets/sheet10.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customXml" Target="../customXml/item5.xml"/><Relationship Id="rId34" Type="http://schemas.openxmlformats.org/officeDocument/2006/relationships/calcChain" Target="calcChain.xml"/><Relationship Id="rId50" Type="http://schemas.openxmlformats.org/officeDocument/2006/relationships/customXml" Target="../customXml/item16.xml"/><Relationship Id="rId55"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pivotSource>
    <c:name>[Entrega_Final_Dashboard_Calani_Viviana.xlsx]Motor_KPI!TablaDinámica5</c:name>
    <c:fmtId val="3"/>
  </c:pivotSource>
  <c:chart>
    <c:title>
      <c:tx>
        <c:rich>
          <a:bodyPr rot="0" spcFirstLastPara="1" vertOverflow="ellipsis" vert="horz" wrap="square" anchor="ctr" anchorCtr="1"/>
          <a:lstStyle/>
          <a:p>
            <a:pPr>
              <a:defRPr sz="1400" b="1" i="0" u="none" strike="noStrike" kern="1200" cap="none" spc="20" baseline="0">
                <a:solidFill>
                  <a:srgbClr val="800080"/>
                </a:solidFill>
                <a:latin typeface="Georgia" panose="02040502050405020303" pitchFamily="18" charset="0"/>
                <a:ea typeface="+mn-ea"/>
                <a:cs typeface="+mn-cs"/>
              </a:defRPr>
            </a:pPr>
            <a:r>
              <a:rPr lang="en-US" b="1">
                <a:solidFill>
                  <a:srgbClr val="800080"/>
                </a:solidFill>
                <a:latin typeface="Georgia" panose="02040502050405020303" pitchFamily="18" charset="0"/>
              </a:rPr>
              <a:t>Total de ventas 2025</a:t>
            </a:r>
          </a:p>
        </c:rich>
      </c:tx>
      <c:layout>
        <c:manualLayout>
          <c:xMode val="edge"/>
          <c:yMode val="edge"/>
          <c:x val="0.70886226595195145"/>
          <c:y val="5.4174204728587437E-2"/>
        </c:manualLayout>
      </c:layout>
      <c:overlay val="0"/>
      <c:spPr>
        <a:noFill/>
        <a:ln>
          <a:noFill/>
        </a:ln>
        <a:effectLst/>
      </c:spPr>
      <c:txPr>
        <a:bodyPr rot="0" spcFirstLastPara="1" vertOverflow="ellipsis" vert="horz" wrap="square" anchor="ctr" anchorCtr="1"/>
        <a:lstStyle/>
        <a:p>
          <a:pPr>
            <a:defRPr sz="1400" b="1" i="0" u="none" strike="noStrike" kern="1200" cap="none" spc="20" baseline="0">
              <a:solidFill>
                <a:srgbClr val="800080"/>
              </a:solidFill>
              <a:latin typeface="Georgia" panose="02040502050405020303" pitchFamily="18" charset="0"/>
              <a:ea typeface="+mn-ea"/>
              <a:cs typeface="+mn-cs"/>
            </a:defRPr>
          </a:pPr>
          <a:endParaRPr lang="es-AR"/>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dLbl>
          <c:idx val="0"/>
          <c:showLegendKey val="0"/>
          <c:showVal val="0"/>
          <c:showCatName val="0"/>
          <c:showSerName val="0"/>
          <c:showPercent val="0"/>
          <c:showBubbleSize val="0"/>
          <c:extLst>
            <c:ext xmlns:c15="http://schemas.microsoft.com/office/drawing/2012/chart" uri="{CE6537A1-D6FC-4f65-9D91-7224C49458BB}"/>
          </c:extLst>
        </c:dLbl>
      </c:pivotFmt>
      <c:pivotFmt>
        <c:idx val="42"/>
        <c:dLbl>
          <c:idx val="0"/>
          <c:showLegendKey val="0"/>
          <c:showVal val="0"/>
          <c:showCatName val="0"/>
          <c:showSerName val="0"/>
          <c:showPercent val="0"/>
          <c:showBubbleSize val="0"/>
          <c:extLst>
            <c:ext xmlns:c15="http://schemas.microsoft.com/office/drawing/2012/chart" uri="{CE6537A1-D6FC-4f65-9D91-7224C49458BB}"/>
          </c:extLst>
        </c:dLbl>
      </c:pivotFmt>
      <c:pivotFmt>
        <c:idx val="43"/>
        <c:dLbl>
          <c:idx val="0"/>
          <c:showLegendKey val="0"/>
          <c:showVal val="0"/>
          <c:showCatName val="0"/>
          <c:showSerName val="0"/>
          <c:showPercent val="0"/>
          <c:showBubbleSize val="0"/>
          <c:extLst>
            <c:ext xmlns:c15="http://schemas.microsoft.com/office/drawing/2012/chart" uri="{CE6537A1-D6FC-4f65-9D91-7224C49458BB}"/>
          </c:extLst>
        </c:dLbl>
      </c:pivotFmt>
      <c:pivotFmt>
        <c:idx val="44"/>
        <c:dLbl>
          <c:idx val="0"/>
          <c:showLegendKey val="0"/>
          <c:showVal val="0"/>
          <c:showCatName val="0"/>
          <c:showSerName val="0"/>
          <c:showPercent val="0"/>
          <c:showBubbleSize val="0"/>
          <c:extLst>
            <c:ext xmlns:c15="http://schemas.microsoft.com/office/drawing/2012/chart" uri="{CE6537A1-D6FC-4f65-9D91-7224C49458BB}"/>
          </c:extLst>
        </c:dLbl>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dLbl>
          <c:idx val="0"/>
          <c:showLegendKey val="0"/>
          <c:showVal val="0"/>
          <c:showCatName val="0"/>
          <c:showSerName val="0"/>
          <c:showPercent val="0"/>
          <c:showBubbleSize val="0"/>
          <c:extLst>
            <c:ext xmlns:c15="http://schemas.microsoft.com/office/drawing/2012/chart" uri="{CE6537A1-D6FC-4f65-9D91-7224C49458BB}"/>
          </c:extLst>
        </c:dLbl>
      </c:pivotFmt>
      <c:pivotFmt>
        <c:idx val="55"/>
        <c:dLbl>
          <c:idx val="0"/>
          <c:showLegendKey val="0"/>
          <c:showVal val="0"/>
          <c:showCatName val="0"/>
          <c:showSerName val="0"/>
          <c:showPercent val="0"/>
          <c:showBubbleSize val="0"/>
          <c:extLst>
            <c:ext xmlns:c15="http://schemas.microsoft.com/office/drawing/2012/chart" uri="{CE6537A1-D6FC-4f65-9D91-7224C49458BB}"/>
          </c:extLst>
        </c:dLbl>
      </c:pivotFmt>
      <c:pivotFmt>
        <c:idx val="56"/>
        <c:dLbl>
          <c:idx val="0"/>
          <c:showLegendKey val="0"/>
          <c:showVal val="0"/>
          <c:showCatName val="0"/>
          <c:showSerName val="0"/>
          <c:showPercent val="0"/>
          <c:showBubbleSize val="0"/>
          <c:extLst>
            <c:ext xmlns:c15="http://schemas.microsoft.com/office/drawing/2012/chart" uri="{CE6537A1-D6FC-4f65-9D91-7224C49458BB}"/>
          </c:extLst>
        </c:dLbl>
      </c:pivotFmt>
      <c:pivotFmt>
        <c:idx val="57"/>
        <c:dLbl>
          <c:idx val="0"/>
          <c:showLegendKey val="0"/>
          <c:showVal val="0"/>
          <c:showCatName val="0"/>
          <c:showSerName val="0"/>
          <c:showPercent val="0"/>
          <c:showBubbleSize val="0"/>
          <c:extLst>
            <c:ext xmlns:c15="http://schemas.microsoft.com/office/drawing/2012/chart" uri="{CE6537A1-D6FC-4f65-9D91-7224C49458BB}"/>
          </c:extLst>
        </c:dLbl>
      </c:pivotFmt>
      <c:pivotFmt>
        <c:idx val="58"/>
        <c:dLbl>
          <c:idx val="0"/>
          <c:showLegendKey val="0"/>
          <c:showVal val="0"/>
          <c:showCatName val="0"/>
          <c:showSerName val="0"/>
          <c:showPercent val="0"/>
          <c:showBubbleSize val="0"/>
          <c:extLst>
            <c:ext xmlns:c15="http://schemas.microsoft.com/office/drawing/2012/chart" uri="{CE6537A1-D6FC-4f65-9D91-7224C49458BB}"/>
          </c:extLst>
        </c:dLbl>
      </c:pivotFmt>
      <c:pivotFmt>
        <c:idx val="59"/>
        <c:dLbl>
          <c:idx val="0"/>
          <c:showLegendKey val="0"/>
          <c:showVal val="0"/>
          <c:showCatName val="0"/>
          <c:showSerName val="0"/>
          <c:showPercent val="0"/>
          <c:showBubbleSize val="0"/>
          <c:extLst>
            <c:ext xmlns:c15="http://schemas.microsoft.com/office/drawing/2012/chart" uri="{CE6537A1-D6FC-4f65-9D91-7224C49458BB}"/>
          </c:extLst>
        </c:dLbl>
      </c:pivotFmt>
      <c:pivotFmt>
        <c:idx val="60"/>
        <c:dLbl>
          <c:idx val="0"/>
          <c:showLegendKey val="0"/>
          <c:showVal val="0"/>
          <c:showCatName val="0"/>
          <c:showSerName val="0"/>
          <c:showPercent val="0"/>
          <c:showBubbleSize val="0"/>
          <c:extLst>
            <c:ext xmlns:c15="http://schemas.microsoft.com/office/drawing/2012/chart" uri="{CE6537A1-D6FC-4f65-9D91-7224C49458BB}"/>
          </c:extLst>
        </c:dLbl>
      </c:pivotFmt>
      <c:pivotFmt>
        <c:idx val="61"/>
        <c:dLbl>
          <c:idx val="0"/>
          <c:showLegendKey val="0"/>
          <c:showVal val="0"/>
          <c:showCatName val="0"/>
          <c:showSerName val="0"/>
          <c:showPercent val="0"/>
          <c:showBubbleSize val="0"/>
          <c:extLst>
            <c:ext xmlns:c15="http://schemas.microsoft.com/office/drawing/2012/chart" uri="{CE6537A1-D6FC-4f65-9D91-7224C49458BB}"/>
          </c:extLst>
        </c:dLbl>
      </c:pivotFmt>
      <c:pivotFmt>
        <c:idx val="62"/>
        <c:dLbl>
          <c:idx val="0"/>
          <c:showLegendKey val="0"/>
          <c:showVal val="0"/>
          <c:showCatName val="0"/>
          <c:showSerName val="0"/>
          <c:showPercent val="0"/>
          <c:showBubbleSize val="0"/>
          <c:extLst>
            <c:ext xmlns:c15="http://schemas.microsoft.com/office/drawing/2012/chart" uri="{CE6537A1-D6FC-4f65-9D91-7224C49458BB}"/>
          </c:extLst>
        </c:dLbl>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dLbl>
          <c:idx val="0"/>
          <c:showLegendKey val="0"/>
          <c:showVal val="0"/>
          <c:showCatName val="0"/>
          <c:showSerName val="0"/>
          <c:showPercent val="0"/>
          <c:showBubbleSize val="0"/>
          <c:extLst>
            <c:ext xmlns:c15="http://schemas.microsoft.com/office/drawing/2012/chart" uri="{CE6537A1-D6FC-4f65-9D91-7224C49458BB}"/>
          </c:extLst>
        </c:dLbl>
      </c:pivotFmt>
      <c:pivotFmt>
        <c:idx val="65"/>
        <c:dLbl>
          <c:idx val="0"/>
          <c:showLegendKey val="0"/>
          <c:showVal val="0"/>
          <c:showCatName val="0"/>
          <c:showSerName val="0"/>
          <c:showPercent val="0"/>
          <c:showBubbleSize val="0"/>
          <c:extLst>
            <c:ext xmlns:c15="http://schemas.microsoft.com/office/drawing/2012/chart" uri="{CE6537A1-D6FC-4f65-9D91-7224C49458BB}"/>
          </c:extLst>
        </c:dLbl>
      </c:pivotFmt>
      <c:pivotFmt>
        <c:idx val="66"/>
        <c:dLbl>
          <c:idx val="0"/>
          <c:showLegendKey val="0"/>
          <c:showVal val="0"/>
          <c:showCatName val="0"/>
          <c:showSerName val="0"/>
          <c:showPercent val="0"/>
          <c:showBubbleSize val="0"/>
          <c:extLst>
            <c:ext xmlns:c15="http://schemas.microsoft.com/office/drawing/2012/chart" uri="{CE6537A1-D6FC-4f65-9D91-7224C49458BB}"/>
          </c:extLst>
        </c:dLbl>
      </c:pivotFmt>
      <c:pivotFmt>
        <c:idx val="67"/>
        <c:dLbl>
          <c:idx val="0"/>
          <c:showLegendKey val="0"/>
          <c:showVal val="0"/>
          <c:showCatName val="0"/>
          <c:showSerName val="0"/>
          <c:showPercent val="0"/>
          <c:showBubbleSize val="0"/>
          <c:extLst>
            <c:ext xmlns:c15="http://schemas.microsoft.com/office/drawing/2012/chart" uri="{CE6537A1-D6FC-4f65-9D91-7224C49458BB}"/>
          </c:extLst>
        </c:dLbl>
      </c:pivotFmt>
      <c:pivotFmt>
        <c:idx val="68"/>
        <c:dLbl>
          <c:idx val="0"/>
          <c:showLegendKey val="0"/>
          <c:showVal val="0"/>
          <c:showCatName val="0"/>
          <c:showSerName val="0"/>
          <c:showPercent val="0"/>
          <c:showBubbleSize val="0"/>
          <c:extLst>
            <c:ext xmlns:c15="http://schemas.microsoft.com/office/drawing/2012/chart" uri="{CE6537A1-D6FC-4f65-9D91-7224C49458BB}"/>
          </c:extLst>
        </c:dLbl>
      </c:pivotFmt>
      <c:pivotFmt>
        <c:idx val="69"/>
        <c:dLbl>
          <c:idx val="0"/>
          <c:showLegendKey val="0"/>
          <c:showVal val="0"/>
          <c:showCatName val="0"/>
          <c:showSerName val="0"/>
          <c:showPercent val="0"/>
          <c:showBubbleSize val="0"/>
          <c:extLst>
            <c:ext xmlns:c15="http://schemas.microsoft.com/office/drawing/2012/chart" uri="{CE6537A1-D6FC-4f65-9D91-7224C49458BB}"/>
          </c:extLst>
        </c:dLbl>
      </c:pivotFmt>
      <c:pivotFmt>
        <c:idx val="70"/>
        <c:dLbl>
          <c:idx val="0"/>
          <c:showLegendKey val="0"/>
          <c:showVal val="0"/>
          <c:showCatName val="0"/>
          <c:showSerName val="0"/>
          <c:showPercent val="0"/>
          <c:showBubbleSize val="0"/>
          <c:extLst>
            <c:ext xmlns:c15="http://schemas.microsoft.com/office/drawing/2012/chart" uri="{CE6537A1-D6FC-4f65-9D91-7224C49458BB}"/>
          </c:extLst>
        </c:dLbl>
      </c:pivotFmt>
      <c:pivotFmt>
        <c:idx val="71"/>
        <c:dLbl>
          <c:idx val="0"/>
          <c:showLegendKey val="0"/>
          <c:showVal val="0"/>
          <c:showCatName val="0"/>
          <c:showSerName val="0"/>
          <c:showPercent val="0"/>
          <c:showBubbleSize val="0"/>
          <c:extLst>
            <c:ext xmlns:c15="http://schemas.microsoft.com/office/drawing/2012/chart" uri="{CE6537A1-D6FC-4f65-9D91-7224C49458BB}"/>
          </c:extLst>
        </c:dLbl>
      </c:pivotFmt>
      <c:pivotFmt>
        <c:idx val="72"/>
        <c:dLbl>
          <c:idx val="0"/>
          <c:showLegendKey val="0"/>
          <c:showVal val="0"/>
          <c:showCatName val="0"/>
          <c:showSerName val="0"/>
          <c:showPercent val="0"/>
          <c:showBubbleSize val="0"/>
          <c:extLst>
            <c:ext xmlns:c15="http://schemas.microsoft.com/office/drawing/2012/chart" uri="{CE6537A1-D6FC-4f65-9D91-7224C49458BB}"/>
          </c:extLst>
        </c:dLbl>
      </c:pivotFmt>
      <c:pivotFmt>
        <c:idx val="73"/>
        <c:dLbl>
          <c:idx val="0"/>
          <c:showLegendKey val="0"/>
          <c:showVal val="0"/>
          <c:showCatName val="0"/>
          <c:showSerName val="0"/>
          <c:showPercent val="0"/>
          <c:showBubbleSize val="0"/>
          <c:extLst>
            <c:ext xmlns:c15="http://schemas.microsoft.com/office/drawing/2012/chart" uri="{CE6537A1-D6FC-4f65-9D91-7224C49458BB}"/>
          </c:extLst>
        </c:dLbl>
      </c:pivotFmt>
      <c:pivotFmt>
        <c:idx val="74"/>
        <c:dLbl>
          <c:idx val="0"/>
          <c:showLegendKey val="0"/>
          <c:showVal val="0"/>
          <c:showCatName val="0"/>
          <c:showSerName val="0"/>
          <c:showPercent val="0"/>
          <c:showBubbleSize val="0"/>
          <c:extLst>
            <c:ext xmlns:c15="http://schemas.microsoft.com/office/drawing/2012/chart" uri="{CE6537A1-D6FC-4f65-9D91-7224C49458BB}"/>
          </c:extLst>
        </c:dLbl>
      </c:pivotFmt>
      <c:pivotFmt>
        <c:idx val="75"/>
        <c:dLbl>
          <c:idx val="0"/>
          <c:showLegendKey val="0"/>
          <c:showVal val="0"/>
          <c:showCatName val="0"/>
          <c:showSerName val="0"/>
          <c:showPercent val="0"/>
          <c:showBubbleSize val="0"/>
          <c:extLst>
            <c:ext xmlns:c15="http://schemas.microsoft.com/office/drawing/2012/chart" uri="{CE6537A1-D6FC-4f65-9D91-7224C49458BB}"/>
          </c:extLst>
        </c:dLbl>
      </c:pivotFmt>
      <c:pivotFmt>
        <c:idx val="76"/>
        <c:dLbl>
          <c:idx val="0"/>
          <c:showLegendKey val="0"/>
          <c:showVal val="0"/>
          <c:showCatName val="0"/>
          <c:showSerName val="0"/>
          <c:showPercent val="0"/>
          <c:showBubbleSize val="0"/>
          <c:extLst>
            <c:ext xmlns:c15="http://schemas.microsoft.com/office/drawing/2012/chart" uri="{CE6537A1-D6FC-4f65-9D91-7224C49458BB}"/>
          </c:extLst>
        </c:dLbl>
      </c:pivotFmt>
      <c:pivotFmt>
        <c:idx val="77"/>
        <c:dLbl>
          <c:idx val="0"/>
          <c:showLegendKey val="0"/>
          <c:showVal val="0"/>
          <c:showCatName val="0"/>
          <c:showSerName val="0"/>
          <c:showPercent val="0"/>
          <c:showBubbleSize val="0"/>
          <c:extLst>
            <c:ext xmlns:c15="http://schemas.microsoft.com/office/drawing/2012/chart" uri="{CE6537A1-D6FC-4f65-9D91-7224C49458BB}"/>
          </c:extLst>
        </c:dLbl>
      </c:pivotFmt>
      <c:pivotFmt>
        <c:idx val="78"/>
        <c:dLbl>
          <c:idx val="0"/>
          <c:showLegendKey val="0"/>
          <c:showVal val="0"/>
          <c:showCatName val="0"/>
          <c:showSerName val="0"/>
          <c:showPercent val="0"/>
          <c:showBubbleSize val="0"/>
          <c:extLst>
            <c:ext xmlns:c15="http://schemas.microsoft.com/office/drawing/2012/chart" uri="{CE6537A1-D6FC-4f65-9D91-7224C49458BB}"/>
          </c:extLst>
        </c:dLbl>
      </c:pivotFmt>
      <c:pivotFmt>
        <c:idx val="79"/>
        <c:dLbl>
          <c:idx val="0"/>
          <c:showLegendKey val="0"/>
          <c:showVal val="0"/>
          <c:showCatName val="0"/>
          <c:showSerName val="0"/>
          <c:showPercent val="0"/>
          <c:showBubbleSize val="0"/>
          <c:extLst>
            <c:ext xmlns:c15="http://schemas.microsoft.com/office/drawing/2012/chart" uri="{CE6537A1-D6FC-4f65-9D91-7224C49458BB}"/>
          </c:extLst>
        </c:dLbl>
      </c:pivotFmt>
      <c:pivotFmt>
        <c:idx val="80"/>
        <c:dLbl>
          <c:idx val="0"/>
          <c:showLegendKey val="0"/>
          <c:showVal val="0"/>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dLbl>
          <c:idx val="0"/>
          <c:showLegendKey val="0"/>
          <c:showVal val="0"/>
          <c:showCatName val="0"/>
          <c:showSerName val="0"/>
          <c:showPercent val="0"/>
          <c:showBubbleSize val="0"/>
          <c:extLst>
            <c:ext xmlns:c15="http://schemas.microsoft.com/office/drawing/2012/chart" uri="{CE6537A1-D6FC-4f65-9D91-7224C49458BB}"/>
          </c:extLst>
        </c:dLbl>
      </c:pivotFmt>
      <c:pivotFmt>
        <c:idx val="83"/>
        <c:dLbl>
          <c:idx val="0"/>
          <c:showLegendKey val="0"/>
          <c:showVal val="0"/>
          <c:showCatName val="0"/>
          <c:showSerName val="0"/>
          <c:showPercent val="0"/>
          <c:showBubbleSize val="0"/>
          <c:extLst>
            <c:ext xmlns:c15="http://schemas.microsoft.com/office/drawing/2012/chart" uri="{CE6537A1-D6FC-4f65-9D91-7224C49458BB}"/>
          </c:extLst>
        </c:dLbl>
      </c:pivotFmt>
      <c:pivotFmt>
        <c:idx val="84"/>
        <c:dLbl>
          <c:idx val="0"/>
          <c:showLegendKey val="0"/>
          <c:showVal val="0"/>
          <c:showCatName val="0"/>
          <c:showSerName val="0"/>
          <c:showPercent val="0"/>
          <c:showBubbleSize val="0"/>
          <c:extLst>
            <c:ext xmlns:c15="http://schemas.microsoft.com/office/drawing/2012/chart" uri="{CE6537A1-D6FC-4f65-9D91-7224C49458BB}"/>
          </c:extLst>
        </c:dLbl>
      </c:pivotFmt>
      <c:pivotFmt>
        <c:idx val="85"/>
        <c:dLbl>
          <c:idx val="0"/>
          <c:showLegendKey val="0"/>
          <c:showVal val="0"/>
          <c:showCatName val="0"/>
          <c:showSerName val="0"/>
          <c:showPercent val="0"/>
          <c:showBubbleSize val="0"/>
          <c:extLst>
            <c:ext xmlns:c15="http://schemas.microsoft.com/office/drawing/2012/chart" uri="{CE6537A1-D6FC-4f65-9D91-7224C49458BB}"/>
          </c:extLst>
        </c:dLbl>
      </c:pivotFmt>
      <c:pivotFmt>
        <c:idx val="86"/>
        <c:dLbl>
          <c:idx val="0"/>
          <c:showLegendKey val="0"/>
          <c:showVal val="0"/>
          <c:showCatName val="0"/>
          <c:showSerName val="0"/>
          <c:showPercent val="0"/>
          <c:showBubbleSize val="0"/>
          <c:extLst>
            <c:ext xmlns:c15="http://schemas.microsoft.com/office/drawing/2012/chart" uri="{CE6537A1-D6FC-4f65-9D91-7224C49458BB}"/>
          </c:extLst>
        </c:dLbl>
      </c:pivotFmt>
      <c:pivotFmt>
        <c:idx val="87"/>
        <c:dLbl>
          <c:idx val="0"/>
          <c:showLegendKey val="0"/>
          <c:showVal val="0"/>
          <c:showCatName val="0"/>
          <c:showSerName val="0"/>
          <c:showPercent val="0"/>
          <c:showBubbleSize val="0"/>
          <c:extLst>
            <c:ext xmlns:c15="http://schemas.microsoft.com/office/drawing/2012/chart" uri="{CE6537A1-D6FC-4f65-9D91-7224C49458BB}"/>
          </c:extLst>
        </c:dLbl>
      </c:pivotFmt>
      <c:pivotFmt>
        <c:idx val="88"/>
        <c:dLbl>
          <c:idx val="0"/>
          <c:showLegendKey val="0"/>
          <c:showVal val="0"/>
          <c:showCatName val="0"/>
          <c:showSerName val="0"/>
          <c:showPercent val="0"/>
          <c:showBubbleSize val="0"/>
          <c:extLst>
            <c:ext xmlns:c15="http://schemas.microsoft.com/office/drawing/2012/chart" uri="{CE6537A1-D6FC-4f65-9D91-7224C49458BB}"/>
          </c:extLst>
        </c:dLbl>
      </c:pivotFmt>
      <c:pivotFmt>
        <c:idx val="89"/>
        <c:dLbl>
          <c:idx val="0"/>
          <c:showLegendKey val="0"/>
          <c:showVal val="0"/>
          <c:showCatName val="0"/>
          <c:showSerName val="0"/>
          <c:showPercent val="0"/>
          <c:showBubbleSize val="0"/>
          <c:extLst>
            <c:ext xmlns:c15="http://schemas.microsoft.com/office/drawing/2012/chart" uri="{CE6537A1-D6FC-4f65-9D91-7224C49458BB}"/>
          </c:extLst>
        </c:dLbl>
      </c:pivotFmt>
      <c:pivotFmt>
        <c:idx val="90"/>
        <c:dLbl>
          <c:idx val="0"/>
          <c:showLegendKey val="0"/>
          <c:showVal val="0"/>
          <c:showCatName val="0"/>
          <c:showSerName val="0"/>
          <c:showPercent val="0"/>
          <c:showBubbleSize val="0"/>
          <c:extLst>
            <c:ext xmlns:c15="http://schemas.microsoft.com/office/drawing/2012/chart" uri="{CE6537A1-D6FC-4f65-9D91-7224C49458BB}"/>
          </c:extLst>
        </c:dLbl>
      </c:pivotFmt>
      <c:pivotFmt>
        <c:idx val="91"/>
        <c:dLbl>
          <c:idx val="0"/>
          <c:showLegendKey val="0"/>
          <c:showVal val="0"/>
          <c:showCatName val="0"/>
          <c:showSerName val="0"/>
          <c:showPercent val="0"/>
          <c:showBubbleSize val="0"/>
          <c:extLst>
            <c:ext xmlns:c15="http://schemas.microsoft.com/office/drawing/2012/chart" uri="{CE6537A1-D6FC-4f65-9D91-7224C49458BB}"/>
          </c:extLst>
        </c:dLbl>
      </c:pivotFmt>
      <c:pivotFmt>
        <c:idx val="92"/>
        <c:dLbl>
          <c:idx val="0"/>
          <c:showLegendKey val="0"/>
          <c:showVal val="0"/>
          <c:showCatName val="0"/>
          <c:showSerName val="0"/>
          <c:showPercent val="0"/>
          <c:showBubbleSize val="0"/>
          <c:extLst>
            <c:ext xmlns:c15="http://schemas.microsoft.com/office/drawing/2012/chart" uri="{CE6537A1-D6FC-4f65-9D91-7224C49458BB}"/>
          </c:extLst>
        </c:dLbl>
      </c:pivotFmt>
      <c:pivotFmt>
        <c:idx val="93"/>
        <c:dLbl>
          <c:idx val="0"/>
          <c:showLegendKey val="0"/>
          <c:showVal val="0"/>
          <c:showCatName val="0"/>
          <c:showSerName val="0"/>
          <c:showPercent val="0"/>
          <c:showBubbleSize val="0"/>
          <c:extLst>
            <c:ext xmlns:c15="http://schemas.microsoft.com/office/drawing/2012/chart" uri="{CE6537A1-D6FC-4f65-9D91-7224C49458BB}"/>
          </c:extLst>
        </c:dLbl>
      </c:pivotFmt>
      <c:pivotFmt>
        <c:idx val="94"/>
        <c:dLbl>
          <c:idx val="0"/>
          <c:showLegendKey val="0"/>
          <c:showVal val="0"/>
          <c:showCatName val="0"/>
          <c:showSerName val="0"/>
          <c:showPercent val="0"/>
          <c:showBubbleSize val="0"/>
          <c:extLst>
            <c:ext xmlns:c15="http://schemas.microsoft.com/office/drawing/2012/chart" uri="{CE6537A1-D6FC-4f65-9D91-7224C49458BB}"/>
          </c:extLst>
        </c:dLbl>
      </c:pivotFmt>
      <c:pivotFmt>
        <c:idx val="95"/>
        <c:dLbl>
          <c:idx val="0"/>
          <c:showLegendKey val="0"/>
          <c:showVal val="0"/>
          <c:showCatName val="0"/>
          <c:showSerName val="0"/>
          <c:showPercent val="0"/>
          <c:showBubbleSize val="0"/>
          <c:extLst>
            <c:ext xmlns:c15="http://schemas.microsoft.com/office/drawing/2012/chart" uri="{CE6537A1-D6FC-4f65-9D91-7224C49458BB}"/>
          </c:extLst>
        </c:dLbl>
      </c:pivotFmt>
      <c:pivotFmt>
        <c:idx val="96"/>
        <c:dLbl>
          <c:idx val="0"/>
          <c:showLegendKey val="0"/>
          <c:showVal val="0"/>
          <c:showCatName val="0"/>
          <c:showSerName val="0"/>
          <c:showPercent val="0"/>
          <c:showBubbleSize val="0"/>
          <c:extLst>
            <c:ext xmlns:c15="http://schemas.microsoft.com/office/drawing/2012/chart" uri="{CE6537A1-D6FC-4f65-9D91-7224C49458BB}"/>
          </c:extLst>
        </c:dLbl>
      </c:pivotFmt>
      <c:pivotFmt>
        <c:idx val="97"/>
        <c:dLbl>
          <c:idx val="0"/>
          <c:showLegendKey val="0"/>
          <c:showVal val="0"/>
          <c:showCatName val="0"/>
          <c:showSerName val="0"/>
          <c:showPercent val="0"/>
          <c:showBubbleSize val="0"/>
          <c:extLst>
            <c:ext xmlns:c15="http://schemas.microsoft.com/office/drawing/2012/chart" uri="{CE6537A1-D6FC-4f65-9D91-7224C49458BB}"/>
          </c:extLst>
        </c:dLbl>
      </c:pivotFmt>
      <c:pivotFmt>
        <c:idx val="98"/>
        <c:dLbl>
          <c:idx val="0"/>
          <c:showLegendKey val="0"/>
          <c:showVal val="0"/>
          <c:showCatName val="0"/>
          <c:showSerName val="0"/>
          <c:showPercent val="0"/>
          <c:showBubbleSize val="0"/>
          <c:extLst>
            <c:ext xmlns:c15="http://schemas.microsoft.com/office/drawing/2012/chart" uri="{CE6537A1-D6FC-4f65-9D91-7224C49458BB}"/>
          </c:extLst>
        </c:dLbl>
      </c:pivotFmt>
      <c:pivotFmt>
        <c:idx val="99"/>
        <c:dLbl>
          <c:idx val="0"/>
          <c:showLegendKey val="0"/>
          <c:showVal val="0"/>
          <c:showCatName val="0"/>
          <c:showSerName val="0"/>
          <c:showPercent val="0"/>
          <c:showBubbleSize val="0"/>
          <c:extLst>
            <c:ext xmlns:c15="http://schemas.microsoft.com/office/drawing/2012/chart" uri="{CE6537A1-D6FC-4f65-9D91-7224C49458BB}"/>
          </c:extLst>
        </c:dLbl>
      </c:pivotFmt>
      <c:pivotFmt>
        <c:idx val="100"/>
        <c:dLbl>
          <c:idx val="0"/>
          <c:showLegendKey val="0"/>
          <c:showVal val="0"/>
          <c:showCatName val="0"/>
          <c:showSerName val="0"/>
          <c:showPercent val="0"/>
          <c:showBubbleSize val="0"/>
          <c:extLst>
            <c:ext xmlns:c15="http://schemas.microsoft.com/office/drawing/2012/chart" uri="{CE6537A1-D6FC-4f65-9D91-7224C49458BB}"/>
          </c:extLst>
        </c:dLbl>
      </c:pivotFmt>
      <c:pivotFmt>
        <c:idx val="101"/>
        <c:dLbl>
          <c:idx val="0"/>
          <c:showLegendKey val="0"/>
          <c:showVal val="0"/>
          <c:showCatName val="0"/>
          <c:showSerName val="0"/>
          <c:showPercent val="0"/>
          <c:showBubbleSize val="0"/>
          <c:extLst>
            <c:ext xmlns:c15="http://schemas.microsoft.com/office/drawing/2012/chart" uri="{CE6537A1-D6FC-4f65-9D91-7224C49458BB}"/>
          </c:extLst>
        </c:dLbl>
      </c:pivotFmt>
      <c:pivotFmt>
        <c:idx val="102"/>
        <c:dLbl>
          <c:idx val="0"/>
          <c:showLegendKey val="0"/>
          <c:showVal val="0"/>
          <c:showCatName val="0"/>
          <c:showSerName val="0"/>
          <c:showPercent val="0"/>
          <c:showBubbleSize val="0"/>
          <c:extLst>
            <c:ext xmlns:c15="http://schemas.microsoft.com/office/drawing/2012/chart" uri="{CE6537A1-D6FC-4f65-9D91-7224C49458BB}"/>
          </c:extLst>
        </c:dLbl>
      </c:pivotFmt>
      <c:pivotFmt>
        <c:idx val="103"/>
        <c:dLbl>
          <c:idx val="0"/>
          <c:showLegendKey val="0"/>
          <c:showVal val="0"/>
          <c:showCatName val="0"/>
          <c:showSerName val="0"/>
          <c:showPercent val="0"/>
          <c:showBubbleSize val="0"/>
          <c:extLst>
            <c:ext xmlns:c15="http://schemas.microsoft.com/office/drawing/2012/chart" uri="{CE6537A1-D6FC-4f65-9D91-7224C49458BB}"/>
          </c:extLst>
        </c:dLbl>
      </c:pivotFmt>
      <c:pivotFmt>
        <c:idx val="104"/>
        <c:dLbl>
          <c:idx val="0"/>
          <c:showLegendKey val="0"/>
          <c:showVal val="0"/>
          <c:showCatName val="0"/>
          <c:showSerName val="0"/>
          <c:showPercent val="0"/>
          <c:showBubbleSize val="0"/>
          <c:extLst>
            <c:ext xmlns:c15="http://schemas.microsoft.com/office/drawing/2012/chart" uri="{CE6537A1-D6FC-4f65-9D91-7224C49458BB}"/>
          </c:extLst>
        </c:dLbl>
      </c:pivotFmt>
      <c:pivotFmt>
        <c:idx val="105"/>
        <c:dLbl>
          <c:idx val="0"/>
          <c:showLegendKey val="0"/>
          <c:showVal val="0"/>
          <c:showCatName val="0"/>
          <c:showSerName val="0"/>
          <c:showPercent val="0"/>
          <c:showBubbleSize val="0"/>
          <c:extLst>
            <c:ext xmlns:c15="http://schemas.microsoft.com/office/drawing/2012/chart" uri="{CE6537A1-D6FC-4f65-9D91-7224C49458BB}"/>
          </c:extLst>
        </c:dLbl>
      </c:pivotFmt>
      <c:pivotFmt>
        <c:idx val="106"/>
        <c:dLbl>
          <c:idx val="0"/>
          <c:showLegendKey val="0"/>
          <c:showVal val="0"/>
          <c:showCatName val="0"/>
          <c:showSerName val="0"/>
          <c:showPercent val="0"/>
          <c:showBubbleSize val="0"/>
          <c:extLst>
            <c:ext xmlns:c15="http://schemas.microsoft.com/office/drawing/2012/chart" uri="{CE6537A1-D6FC-4f65-9D91-7224C49458BB}"/>
          </c:extLst>
        </c:dLbl>
      </c:pivotFmt>
      <c:pivotFmt>
        <c:idx val="107"/>
        <c:dLbl>
          <c:idx val="0"/>
          <c:showLegendKey val="0"/>
          <c:showVal val="0"/>
          <c:showCatName val="0"/>
          <c:showSerName val="0"/>
          <c:showPercent val="0"/>
          <c:showBubbleSize val="0"/>
          <c:extLst>
            <c:ext xmlns:c15="http://schemas.microsoft.com/office/drawing/2012/chart" uri="{CE6537A1-D6FC-4f65-9D91-7224C49458BB}"/>
          </c:extLst>
        </c:dLbl>
      </c:pivotFmt>
      <c:pivotFmt>
        <c:idx val="108"/>
        <c:dLbl>
          <c:idx val="0"/>
          <c:showLegendKey val="0"/>
          <c:showVal val="0"/>
          <c:showCatName val="0"/>
          <c:showSerName val="0"/>
          <c:showPercent val="0"/>
          <c:showBubbleSize val="0"/>
          <c:extLst>
            <c:ext xmlns:c15="http://schemas.microsoft.com/office/drawing/2012/chart" uri="{CE6537A1-D6FC-4f65-9D91-7224C49458BB}"/>
          </c:extLst>
        </c:dLbl>
      </c:pivotFmt>
      <c:pivotFmt>
        <c:idx val="109"/>
        <c:dLbl>
          <c:idx val="0"/>
          <c:showLegendKey val="0"/>
          <c:showVal val="0"/>
          <c:showCatName val="0"/>
          <c:showSerName val="0"/>
          <c:showPercent val="0"/>
          <c:showBubbleSize val="0"/>
          <c:extLst>
            <c:ext xmlns:c15="http://schemas.microsoft.com/office/drawing/2012/chart" uri="{CE6537A1-D6FC-4f65-9D91-7224C49458BB}"/>
          </c:extLst>
        </c:dLbl>
      </c:pivotFmt>
      <c:pivotFmt>
        <c:idx val="110"/>
        <c:dLbl>
          <c:idx val="0"/>
          <c:showLegendKey val="0"/>
          <c:showVal val="0"/>
          <c:showCatName val="0"/>
          <c:showSerName val="0"/>
          <c:showPercent val="0"/>
          <c:showBubbleSize val="0"/>
          <c:extLst>
            <c:ext xmlns:c15="http://schemas.microsoft.com/office/drawing/2012/chart" uri="{CE6537A1-D6FC-4f65-9D91-7224C49458BB}"/>
          </c:extLst>
        </c:dLbl>
      </c:pivotFmt>
      <c:pivotFmt>
        <c:idx val="111"/>
        <c:dLbl>
          <c:idx val="0"/>
          <c:showLegendKey val="0"/>
          <c:showVal val="0"/>
          <c:showCatName val="0"/>
          <c:showSerName val="0"/>
          <c:showPercent val="0"/>
          <c:showBubbleSize val="0"/>
          <c:extLst>
            <c:ext xmlns:c15="http://schemas.microsoft.com/office/drawing/2012/chart" uri="{CE6537A1-D6FC-4f65-9D91-7224C49458BB}"/>
          </c:extLst>
        </c:dLbl>
      </c:pivotFmt>
      <c:pivotFmt>
        <c:idx val="112"/>
        <c:dLbl>
          <c:idx val="0"/>
          <c:showLegendKey val="0"/>
          <c:showVal val="0"/>
          <c:showCatName val="0"/>
          <c:showSerName val="0"/>
          <c:showPercent val="0"/>
          <c:showBubbleSize val="0"/>
          <c:extLst>
            <c:ext xmlns:c15="http://schemas.microsoft.com/office/drawing/2012/chart" uri="{CE6537A1-D6FC-4f65-9D91-7224C49458BB}"/>
          </c:extLst>
        </c:dLbl>
      </c:pivotFmt>
      <c:pivotFmt>
        <c:idx val="113"/>
        <c:dLbl>
          <c:idx val="0"/>
          <c:showLegendKey val="0"/>
          <c:showVal val="0"/>
          <c:showCatName val="0"/>
          <c:showSerName val="0"/>
          <c:showPercent val="0"/>
          <c:showBubbleSize val="0"/>
          <c:extLst>
            <c:ext xmlns:c15="http://schemas.microsoft.com/office/drawing/2012/chart" uri="{CE6537A1-D6FC-4f65-9D91-7224C49458BB}"/>
          </c:extLst>
        </c:dLbl>
      </c:pivotFmt>
      <c:pivotFmt>
        <c:idx val="114"/>
        <c:dLbl>
          <c:idx val="0"/>
          <c:showLegendKey val="0"/>
          <c:showVal val="0"/>
          <c:showCatName val="0"/>
          <c:showSerName val="0"/>
          <c:showPercent val="0"/>
          <c:showBubbleSize val="0"/>
          <c:extLst>
            <c:ext xmlns:c15="http://schemas.microsoft.com/office/drawing/2012/chart" uri="{CE6537A1-D6FC-4f65-9D91-7224C49458BB}"/>
          </c:extLst>
        </c:dLbl>
      </c:pivotFmt>
      <c:pivotFmt>
        <c:idx val="115"/>
        <c:dLbl>
          <c:idx val="0"/>
          <c:showLegendKey val="0"/>
          <c:showVal val="0"/>
          <c:showCatName val="0"/>
          <c:showSerName val="0"/>
          <c:showPercent val="0"/>
          <c:showBubbleSize val="0"/>
          <c:extLst>
            <c:ext xmlns:c15="http://schemas.microsoft.com/office/drawing/2012/chart" uri="{CE6537A1-D6FC-4f65-9D91-7224C49458BB}"/>
          </c:extLst>
        </c:dLbl>
      </c:pivotFmt>
      <c:pivotFmt>
        <c:idx val="116"/>
        <c:dLbl>
          <c:idx val="0"/>
          <c:showLegendKey val="0"/>
          <c:showVal val="0"/>
          <c:showCatName val="0"/>
          <c:showSerName val="0"/>
          <c:showPercent val="0"/>
          <c:showBubbleSize val="0"/>
          <c:extLst>
            <c:ext xmlns:c15="http://schemas.microsoft.com/office/drawing/2012/chart" uri="{CE6537A1-D6FC-4f65-9D91-7224C49458BB}"/>
          </c:extLst>
        </c:dLbl>
      </c:pivotFmt>
      <c:pivotFmt>
        <c:idx val="117"/>
        <c:dLbl>
          <c:idx val="0"/>
          <c:showLegendKey val="0"/>
          <c:showVal val="0"/>
          <c:showCatName val="0"/>
          <c:showSerName val="0"/>
          <c:showPercent val="0"/>
          <c:showBubbleSize val="0"/>
          <c:extLst>
            <c:ext xmlns:c15="http://schemas.microsoft.com/office/drawing/2012/chart" uri="{CE6537A1-D6FC-4f65-9D91-7224C49458BB}"/>
          </c:extLst>
        </c:dLbl>
      </c:pivotFmt>
      <c:pivotFmt>
        <c:idx val="118"/>
        <c:dLbl>
          <c:idx val="0"/>
          <c:showLegendKey val="0"/>
          <c:showVal val="0"/>
          <c:showCatName val="0"/>
          <c:showSerName val="0"/>
          <c:showPercent val="0"/>
          <c:showBubbleSize val="0"/>
          <c:extLst>
            <c:ext xmlns:c15="http://schemas.microsoft.com/office/drawing/2012/chart" uri="{CE6537A1-D6FC-4f65-9D91-7224C49458BB}"/>
          </c:extLst>
        </c:dLbl>
      </c:pivotFmt>
      <c:pivotFmt>
        <c:idx val="119"/>
        <c:dLbl>
          <c:idx val="0"/>
          <c:showLegendKey val="0"/>
          <c:showVal val="0"/>
          <c:showCatName val="0"/>
          <c:showSerName val="0"/>
          <c:showPercent val="0"/>
          <c:showBubbleSize val="0"/>
          <c:extLst>
            <c:ext xmlns:c15="http://schemas.microsoft.com/office/drawing/2012/chart" uri="{CE6537A1-D6FC-4f65-9D91-7224C49458BB}"/>
          </c:extLst>
        </c:dLbl>
      </c:pivotFmt>
      <c:pivotFmt>
        <c:idx val="120"/>
        <c:dLbl>
          <c:idx val="0"/>
          <c:showLegendKey val="0"/>
          <c:showVal val="0"/>
          <c:showCatName val="0"/>
          <c:showSerName val="0"/>
          <c:showPercent val="0"/>
          <c:showBubbleSize val="0"/>
          <c:extLst>
            <c:ext xmlns:c15="http://schemas.microsoft.com/office/drawing/2012/chart" uri="{CE6537A1-D6FC-4f65-9D91-7224C49458BB}"/>
          </c:extLst>
        </c:dLbl>
      </c:pivotFmt>
      <c:pivotFmt>
        <c:idx val="121"/>
        <c:dLbl>
          <c:idx val="0"/>
          <c:showLegendKey val="0"/>
          <c:showVal val="0"/>
          <c:showCatName val="0"/>
          <c:showSerName val="0"/>
          <c:showPercent val="0"/>
          <c:showBubbleSize val="0"/>
          <c:extLst>
            <c:ext xmlns:c15="http://schemas.microsoft.com/office/drawing/2012/chart" uri="{CE6537A1-D6FC-4f65-9D91-7224C49458BB}"/>
          </c:extLst>
        </c:dLbl>
      </c:pivotFmt>
      <c:pivotFmt>
        <c:idx val="122"/>
        <c:dLbl>
          <c:idx val="0"/>
          <c:showLegendKey val="0"/>
          <c:showVal val="0"/>
          <c:showCatName val="0"/>
          <c:showSerName val="0"/>
          <c:showPercent val="0"/>
          <c:showBubbleSize val="0"/>
          <c:extLst>
            <c:ext xmlns:c15="http://schemas.microsoft.com/office/drawing/2012/chart" uri="{CE6537A1-D6FC-4f65-9D91-7224C49458BB}"/>
          </c:extLst>
        </c:dLbl>
      </c:pivotFmt>
      <c:pivotFmt>
        <c:idx val="123"/>
        <c:dLbl>
          <c:idx val="0"/>
          <c:showLegendKey val="0"/>
          <c:showVal val="0"/>
          <c:showCatName val="0"/>
          <c:showSerName val="0"/>
          <c:showPercent val="0"/>
          <c:showBubbleSize val="0"/>
          <c:extLst>
            <c:ext xmlns:c15="http://schemas.microsoft.com/office/drawing/2012/chart" uri="{CE6537A1-D6FC-4f65-9D91-7224C49458BB}"/>
          </c:extLst>
        </c:dLbl>
      </c:pivotFmt>
      <c:pivotFmt>
        <c:idx val="124"/>
        <c:dLbl>
          <c:idx val="0"/>
          <c:showLegendKey val="0"/>
          <c:showVal val="0"/>
          <c:showCatName val="0"/>
          <c:showSerName val="0"/>
          <c:showPercent val="0"/>
          <c:showBubbleSize val="0"/>
          <c:extLst>
            <c:ext xmlns:c15="http://schemas.microsoft.com/office/drawing/2012/chart" uri="{CE6537A1-D6FC-4f65-9D91-7224C49458BB}"/>
          </c:extLst>
        </c:dLbl>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dLbl>
          <c:idx val="0"/>
          <c:showLegendKey val="0"/>
          <c:showVal val="0"/>
          <c:showCatName val="0"/>
          <c:showSerName val="0"/>
          <c:showPercent val="0"/>
          <c:showBubbleSize val="0"/>
          <c:extLst>
            <c:ext xmlns:c15="http://schemas.microsoft.com/office/drawing/2012/chart" uri="{CE6537A1-D6FC-4f65-9D91-7224C49458BB}"/>
          </c:extLst>
        </c:dLbl>
      </c:pivotFmt>
      <c:pivotFmt>
        <c:idx val="127"/>
        <c:dLbl>
          <c:idx val="0"/>
          <c:showLegendKey val="0"/>
          <c:showVal val="0"/>
          <c:showCatName val="0"/>
          <c:showSerName val="0"/>
          <c:showPercent val="0"/>
          <c:showBubbleSize val="0"/>
          <c:extLst>
            <c:ext xmlns:c15="http://schemas.microsoft.com/office/drawing/2012/chart" uri="{CE6537A1-D6FC-4f65-9D91-7224C49458BB}"/>
          </c:extLst>
        </c:dLbl>
      </c:pivotFmt>
      <c:pivotFmt>
        <c:idx val="128"/>
        <c:dLbl>
          <c:idx val="0"/>
          <c:showLegendKey val="0"/>
          <c:showVal val="0"/>
          <c:showCatName val="0"/>
          <c:showSerName val="0"/>
          <c:showPercent val="0"/>
          <c:showBubbleSize val="0"/>
          <c:extLst>
            <c:ext xmlns:c15="http://schemas.microsoft.com/office/drawing/2012/chart" uri="{CE6537A1-D6FC-4f65-9D91-7224C49458BB}"/>
          </c:extLst>
        </c:dLbl>
      </c:pivotFmt>
      <c:pivotFmt>
        <c:idx val="129"/>
        <c:dLbl>
          <c:idx val="0"/>
          <c:showLegendKey val="0"/>
          <c:showVal val="0"/>
          <c:showCatName val="0"/>
          <c:showSerName val="0"/>
          <c:showPercent val="0"/>
          <c:showBubbleSize val="0"/>
          <c:extLst>
            <c:ext xmlns:c15="http://schemas.microsoft.com/office/drawing/2012/chart" uri="{CE6537A1-D6FC-4f65-9D91-7224C49458BB}"/>
          </c:extLst>
        </c:dLbl>
      </c:pivotFmt>
      <c:pivotFmt>
        <c:idx val="130"/>
        <c:dLbl>
          <c:idx val="0"/>
          <c:showLegendKey val="0"/>
          <c:showVal val="0"/>
          <c:showCatName val="0"/>
          <c:showSerName val="0"/>
          <c:showPercent val="0"/>
          <c:showBubbleSize val="0"/>
          <c:extLst>
            <c:ext xmlns:c15="http://schemas.microsoft.com/office/drawing/2012/chart" uri="{CE6537A1-D6FC-4f65-9D91-7224C49458BB}"/>
          </c:extLst>
        </c:dLbl>
      </c:pivotFmt>
      <c:pivotFmt>
        <c:idx val="131"/>
        <c:dLbl>
          <c:idx val="0"/>
          <c:showLegendKey val="0"/>
          <c:showVal val="0"/>
          <c:showCatName val="0"/>
          <c:showSerName val="0"/>
          <c:showPercent val="0"/>
          <c:showBubbleSize val="0"/>
          <c:extLst>
            <c:ext xmlns:c15="http://schemas.microsoft.com/office/drawing/2012/chart" uri="{CE6537A1-D6FC-4f65-9D91-7224C49458BB}"/>
          </c:extLst>
        </c:dLbl>
      </c:pivotFmt>
      <c:pivotFmt>
        <c:idx val="132"/>
        <c:dLbl>
          <c:idx val="0"/>
          <c:showLegendKey val="0"/>
          <c:showVal val="0"/>
          <c:showCatName val="0"/>
          <c:showSerName val="0"/>
          <c:showPercent val="0"/>
          <c:showBubbleSize val="0"/>
          <c:extLst>
            <c:ext xmlns:c15="http://schemas.microsoft.com/office/drawing/2012/chart" uri="{CE6537A1-D6FC-4f65-9D91-7224C49458BB}"/>
          </c:extLst>
        </c:dLbl>
      </c:pivotFmt>
      <c:pivotFmt>
        <c:idx val="133"/>
        <c:dLbl>
          <c:idx val="0"/>
          <c:showLegendKey val="0"/>
          <c:showVal val="0"/>
          <c:showCatName val="0"/>
          <c:showSerName val="0"/>
          <c:showPercent val="0"/>
          <c:showBubbleSize val="0"/>
          <c:extLst>
            <c:ext xmlns:c15="http://schemas.microsoft.com/office/drawing/2012/chart" uri="{CE6537A1-D6FC-4f65-9D91-7224C49458BB}"/>
          </c:extLst>
        </c:dLbl>
      </c:pivotFmt>
      <c:pivotFmt>
        <c:idx val="134"/>
        <c:dLbl>
          <c:idx val="0"/>
          <c:showLegendKey val="0"/>
          <c:showVal val="0"/>
          <c:showCatName val="0"/>
          <c:showSerName val="0"/>
          <c:showPercent val="0"/>
          <c:showBubbleSize val="0"/>
          <c:extLst>
            <c:ext xmlns:c15="http://schemas.microsoft.com/office/drawing/2012/chart" uri="{CE6537A1-D6FC-4f65-9D91-7224C49458BB}"/>
          </c:extLst>
        </c:dLbl>
      </c:pivotFmt>
      <c:pivotFmt>
        <c:idx val="135"/>
        <c:dLbl>
          <c:idx val="0"/>
          <c:showLegendKey val="0"/>
          <c:showVal val="0"/>
          <c:showCatName val="0"/>
          <c:showSerName val="0"/>
          <c:showPercent val="0"/>
          <c:showBubbleSize val="0"/>
          <c:extLst>
            <c:ext xmlns:c15="http://schemas.microsoft.com/office/drawing/2012/chart" uri="{CE6537A1-D6FC-4f65-9D91-7224C49458BB}"/>
          </c:extLst>
        </c:dLbl>
      </c:pivotFmt>
      <c:pivotFmt>
        <c:idx val="136"/>
        <c:dLbl>
          <c:idx val="0"/>
          <c:showLegendKey val="0"/>
          <c:showVal val="0"/>
          <c:showCatName val="0"/>
          <c:showSerName val="0"/>
          <c:showPercent val="0"/>
          <c:showBubbleSize val="0"/>
          <c:extLst>
            <c:ext xmlns:c15="http://schemas.microsoft.com/office/drawing/2012/chart" uri="{CE6537A1-D6FC-4f65-9D91-7224C49458BB}"/>
          </c:extLst>
        </c:dLbl>
      </c:pivotFmt>
      <c:pivotFmt>
        <c:idx val="137"/>
        <c:dLbl>
          <c:idx val="0"/>
          <c:showLegendKey val="0"/>
          <c:showVal val="0"/>
          <c:showCatName val="0"/>
          <c:showSerName val="0"/>
          <c:showPercent val="0"/>
          <c:showBubbleSize val="0"/>
          <c:extLst>
            <c:ext xmlns:c15="http://schemas.microsoft.com/office/drawing/2012/chart" uri="{CE6537A1-D6FC-4f65-9D91-7224C49458BB}"/>
          </c:extLst>
        </c:dLbl>
      </c:pivotFmt>
      <c:pivotFmt>
        <c:idx val="138"/>
        <c:dLbl>
          <c:idx val="0"/>
          <c:showLegendKey val="0"/>
          <c:showVal val="0"/>
          <c:showCatName val="0"/>
          <c:showSerName val="0"/>
          <c:showPercent val="0"/>
          <c:showBubbleSize val="0"/>
          <c:extLst>
            <c:ext xmlns:c15="http://schemas.microsoft.com/office/drawing/2012/chart" uri="{CE6537A1-D6FC-4f65-9D91-7224C49458BB}"/>
          </c:extLst>
        </c:dLbl>
      </c:pivotFmt>
      <c:pivotFmt>
        <c:idx val="139"/>
        <c:dLbl>
          <c:idx val="0"/>
          <c:showLegendKey val="0"/>
          <c:showVal val="0"/>
          <c:showCatName val="0"/>
          <c:showSerName val="0"/>
          <c:showPercent val="0"/>
          <c:showBubbleSize val="0"/>
          <c:extLst>
            <c:ext xmlns:c15="http://schemas.microsoft.com/office/drawing/2012/chart" uri="{CE6537A1-D6FC-4f65-9D91-7224C49458BB}"/>
          </c:extLst>
        </c:dLbl>
      </c:pivotFmt>
      <c:pivotFmt>
        <c:idx val="140"/>
        <c:dLbl>
          <c:idx val="0"/>
          <c:showLegendKey val="0"/>
          <c:showVal val="0"/>
          <c:showCatName val="0"/>
          <c:showSerName val="0"/>
          <c:showPercent val="0"/>
          <c:showBubbleSize val="0"/>
          <c:extLst>
            <c:ext xmlns:c15="http://schemas.microsoft.com/office/drawing/2012/chart" uri="{CE6537A1-D6FC-4f65-9D91-7224C49458BB}"/>
          </c:extLst>
        </c:dLbl>
      </c:pivotFmt>
      <c:pivotFmt>
        <c:idx val="141"/>
        <c:dLbl>
          <c:idx val="0"/>
          <c:showLegendKey val="0"/>
          <c:showVal val="0"/>
          <c:showCatName val="0"/>
          <c:showSerName val="0"/>
          <c:showPercent val="0"/>
          <c:showBubbleSize val="0"/>
          <c:extLst>
            <c:ext xmlns:c15="http://schemas.microsoft.com/office/drawing/2012/chart" uri="{CE6537A1-D6FC-4f65-9D91-7224C49458BB}"/>
          </c:extLst>
        </c:dLbl>
      </c:pivotFmt>
      <c:pivotFmt>
        <c:idx val="142"/>
        <c:dLbl>
          <c:idx val="0"/>
          <c:showLegendKey val="0"/>
          <c:showVal val="0"/>
          <c:showCatName val="0"/>
          <c:showSerName val="0"/>
          <c:showPercent val="0"/>
          <c:showBubbleSize val="0"/>
          <c:extLst>
            <c:ext xmlns:c15="http://schemas.microsoft.com/office/drawing/2012/chart" uri="{CE6537A1-D6FC-4f65-9D91-7224C49458BB}"/>
          </c:extLst>
        </c:dLbl>
      </c:pivotFmt>
      <c:pivotFmt>
        <c:idx val="143"/>
        <c:dLbl>
          <c:idx val="0"/>
          <c:showLegendKey val="0"/>
          <c:showVal val="0"/>
          <c:showCatName val="0"/>
          <c:showSerName val="0"/>
          <c:showPercent val="0"/>
          <c:showBubbleSize val="0"/>
          <c:extLst>
            <c:ext xmlns:c15="http://schemas.microsoft.com/office/drawing/2012/chart" uri="{CE6537A1-D6FC-4f65-9D91-7224C49458BB}"/>
          </c:extLst>
        </c:dLbl>
      </c:pivotFmt>
      <c:pivotFmt>
        <c:idx val="144"/>
        <c:dLbl>
          <c:idx val="0"/>
          <c:showLegendKey val="0"/>
          <c:showVal val="0"/>
          <c:showCatName val="0"/>
          <c:showSerName val="0"/>
          <c:showPercent val="0"/>
          <c:showBubbleSize val="0"/>
          <c:extLst>
            <c:ext xmlns:c15="http://schemas.microsoft.com/office/drawing/2012/chart" uri="{CE6537A1-D6FC-4f65-9D91-7224C49458BB}"/>
          </c:extLst>
        </c:dLbl>
      </c:pivotFmt>
      <c:pivotFmt>
        <c:idx val="145"/>
        <c:dLbl>
          <c:idx val="0"/>
          <c:showLegendKey val="0"/>
          <c:showVal val="0"/>
          <c:showCatName val="0"/>
          <c:showSerName val="0"/>
          <c:showPercent val="0"/>
          <c:showBubbleSize val="0"/>
          <c:extLst>
            <c:ext xmlns:c15="http://schemas.microsoft.com/office/drawing/2012/chart" uri="{CE6537A1-D6FC-4f65-9D91-7224C49458BB}"/>
          </c:extLst>
        </c:dLbl>
      </c:pivotFmt>
      <c:pivotFmt>
        <c:idx val="146"/>
        <c:dLbl>
          <c:idx val="0"/>
          <c:showLegendKey val="0"/>
          <c:showVal val="0"/>
          <c:showCatName val="0"/>
          <c:showSerName val="0"/>
          <c:showPercent val="0"/>
          <c:showBubbleSize val="0"/>
          <c:extLst>
            <c:ext xmlns:c15="http://schemas.microsoft.com/office/drawing/2012/chart" uri="{CE6537A1-D6FC-4f65-9D91-7224C49458BB}"/>
          </c:extLst>
        </c:dLbl>
      </c:pivotFmt>
      <c:pivotFmt>
        <c:idx val="147"/>
        <c:dLbl>
          <c:idx val="0"/>
          <c:showLegendKey val="0"/>
          <c:showVal val="0"/>
          <c:showCatName val="0"/>
          <c:showSerName val="0"/>
          <c:showPercent val="0"/>
          <c:showBubbleSize val="0"/>
          <c:extLst>
            <c:ext xmlns:c15="http://schemas.microsoft.com/office/drawing/2012/chart" uri="{CE6537A1-D6FC-4f65-9D91-7224C49458BB}"/>
          </c:extLst>
        </c:dLbl>
      </c:pivotFmt>
      <c:pivotFmt>
        <c:idx val="148"/>
        <c:dLbl>
          <c:idx val="0"/>
          <c:showLegendKey val="0"/>
          <c:showVal val="0"/>
          <c:showCatName val="0"/>
          <c:showSerName val="0"/>
          <c:showPercent val="0"/>
          <c:showBubbleSize val="0"/>
          <c:extLst>
            <c:ext xmlns:c15="http://schemas.microsoft.com/office/drawing/2012/chart" uri="{CE6537A1-D6FC-4f65-9D91-7224C49458BB}"/>
          </c:extLst>
        </c:dLbl>
      </c:pivotFmt>
      <c:pivotFmt>
        <c:idx val="149"/>
        <c:dLbl>
          <c:idx val="0"/>
          <c:showLegendKey val="0"/>
          <c:showVal val="0"/>
          <c:showCatName val="0"/>
          <c:showSerName val="0"/>
          <c:showPercent val="0"/>
          <c:showBubbleSize val="0"/>
          <c:extLst>
            <c:ext xmlns:c15="http://schemas.microsoft.com/office/drawing/2012/chart" uri="{CE6537A1-D6FC-4f65-9D91-7224C49458BB}"/>
          </c:extLst>
        </c:dLbl>
      </c:pivotFmt>
      <c:pivotFmt>
        <c:idx val="150"/>
        <c:dLbl>
          <c:idx val="0"/>
          <c:showLegendKey val="0"/>
          <c:showVal val="0"/>
          <c:showCatName val="0"/>
          <c:showSerName val="0"/>
          <c:showPercent val="0"/>
          <c:showBubbleSize val="0"/>
          <c:extLst>
            <c:ext xmlns:c15="http://schemas.microsoft.com/office/drawing/2012/chart" uri="{CE6537A1-D6FC-4f65-9D91-7224C49458BB}"/>
          </c:extLst>
        </c:dLbl>
      </c:pivotFmt>
      <c:pivotFmt>
        <c:idx val="151"/>
        <c:dLbl>
          <c:idx val="0"/>
          <c:showLegendKey val="0"/>
          <c:showVal val="0"/>
          <c:showCatName val="0"/>
          <c:showSerName val="0"/>
          <c:showPercent val="0"/>
          <c:showBubbleSize val="0"/>
          <c:extLst>
            <c:ext xmlns:c15="http://schemas.microsoft.com/office/drawing/2012/chart" uri="{CE6537A1-D6FC-4f65-9D91-7224C49458BB}"/>
          </c:extLst>
        </c:dLbl>
      </c:pivotFmt>
      <c:pivotFmt>
        <c:idx val="152"/>
        <c:dLbl>
          <c:idx val="0"/>
          <c:showLegendKey val="0"/>
          <c:showVal val="0"/>
          <c:showCatName val="0"/>
          <c:showSerName val="0"/>
          <c:showPercent val="0"/>
          <c:showBubbleSize val="0"/>
          <c:extLst>
            <c:ext xmlns:c15="http://schemas.microsoft.com/office/drawing/2012/chart" uri="{CE6537A1-D6FC-4f65-9D91-7224C49458BB}"/>
          </c:extLst>
        </c:dLbl>
      </c:pivotFmt>
      <c:pivotFmt>
        <c:idx val="153"/>
        <c:dLbl>
          <c:idx val="0"/>
          <c:showLegendKey val="0"/>
          <c:showVal val="0"/>
          <c:showCatName val="0"/>
          <c:showSerName val="0"/>
          <c:showPercent val="0"/>
          <c:showBubbleSize val="0"/>
          <c:extLst>
            <c:ext xmlns:c15="http://schemas.microsoft.com/office/drawing/2012/chart" uri="{CE6537A1-D6FC-4f65-9D91-7224C49458BB}"/>
          </c:extLst>
        </c:dLbl>
      </c:pivotFmt>
      <c:pivotFmt>
        <c:idx val="154"/>
        <c:dLbl>
          <c:idx val="0"/>
          <c:showLegendKey val="0"/>
          <c:showVal val="0"/>
          <c:showCatName val="0"/>
          <c:showSerName val="0"/>
          <c:showPercent val="0"/>
          <c:showBubbleSize val="0"/>
          <c:extLst>
            <c:ext xmlns:c15="http://schemas.microsoft.com/office/drawing/2012/chart" uri="{CE6537A1-D6FC-4f65-9D91-7224C49458BB}"/>
          </c:extLst>
        </c:dLbl>
      </c:pivotFmt>
      <c:pivotFmt>
        <c:idx val="155"/>
        <c:dLbl>
          <c:idx val="0"/>
          <c:showLegendKey val="0"/>
          <c:showVal val="0"/>
          <c:showCatName val="0"/>
          <c:showSerName val="0"/>
          <c:showPercent val="0"/>
          <c:showBubbleSize val="0"/>
          <c:extLst>
            <c:ext xmlns:c15="http://schemas.microsoft.com/office/drawing/2012/chart" uri="{CE6537A1-D6FC-4f65-9D91-7224C49458BB}"/>
          </c:extLst>
        </c:dLbl>
      </c:pivotFmt>
      <c:pivotFmt>
        <c:idx val="156"/>
        <c:dLbl>
          <c:idx val="0"/>
          <c:showLegendKey val="0"/>
          <c:showVal val="0"/>
          <c:showCatName val="0"/>
          <c:showSerName val="0"/>
          <c:showPercent val="0"/>
          <c:showBubbleSize val="0"/>
          <c:extLst>
            <c:ext xmlns:c15="http://schemas.microsoft.com/office/drawing/2012/chart" uri="{CE6537A1-D6FC-4f65-9D91-7224C49458BB}"/>
          </c:extLst>
        </c:dLbl>
      </c:pivotFmt>
      <c:pivotFmt>
        <c:idx val="157"/>
        <c:dLbl>
          <c:idx val="0"/>
          <c:showLegendKey val="0"/>
          <c:showVal val="0"/>
          <c:showCatName val="0"/>
          <c:showSerName val="0"/>
          <c:showPercent val="0"/>
          <c:showBubbleSize val="0"/>
          <c:extLst>
            <c:ext xmlns:c15="http://schemas.microsoft.com/office/drawing/2012/chart" uri="{CE6537A1-D6FC-4f65-9D91-7224C49458BB}"/>
          </c:extLst>
        </c:dLbl>
      </c:pivotFmt>
      <c:pivotFmt>
        <c:idx val="158"/>
        <c:dLbl>
          <c:idx val="0"/>
          <c:showLegendKey val="0"/>
          <c:showVal val="0"/>
          <c:showCatName val="0"/>
          <c:showSerName val="0"/>
          <c:showPercent val="0"/>
          <c:showBubbleSize val="0"/>
          <c:extLst>
            <c:ext xmlns:c15="http://schemas.microsoft.com/office/drawing/2012/chart" uri="{CE6537A1-D6FC-4f65-9D91-7224C49458BB}"/>
          </c:extLst>
        </c:dLbl>
      </c:pivotFmt>
      <c:pivotFmt>
        <c:idx val="159"/>
        <c:dLbl>
          <c:idx val="0"/>
          <c:showLegendKey val="0"/>
          <c:showVal val="0"/>
          <c:showCatName val="0"/>
          <c:showSerName val="0"/>
          <c:showPercent val="0"/>
          <c:showBubbleSize val="0"/>
          <c:extLst>
            <c:ext xmlns:c15="http://schemas.microsoft.com/office/drawing/2012/chart" uri="{CE6537A1-D6FC-4f65-9D91-7224C49458BB}"/>
          </c:extLst>
        </c:dLbl>
      </c:pivotFmt>
      <c:pivotFmt>
        <c:idx val="160"/>
        <c:dLbl>
          <c:idx val="0"/>
          <c:showLegendKey val="0"/>
          <c:showVal val="0"/>
          <c:showCatName val="0"/>
          <c:showSerName val="0"/>
          <c:showPercent val="0"/>
          <c:showBubbleSize val="0"/>
          <c:extLst>
            <c:ext xmlns:c15="http://schemas.microsoft.com/office/drawing/2012/chart" uri="{CE6537A1-D6FC-4f65-9D91-7224C49458BB}"/>
          </c:extLst>
        </c:dLbl>
      </c:pivotFmt>
      <c:pivotFmt>
        <c:idx val="161"/>
        <c:dLbl>
          <c:idx val="0"/>
          <c:showLegendKey val="0"/>
          <c:showVal val="0"/>
          <c:showCatName val="0"/>
          <c:showSerName val="0"/>
          <c:showPercent val="0"/>
          <c:showBubbleSize val="0"/>
          <c:extLst>
            <c:ext xmlns:c15="http://schemas.microsoft.com/office/drawing/2012/chart" uri="{CE6537A1-D6FC-4f65-9D91-7224C49458BB}"/>
          </c:extLst>
        </c:dLbl>
      </c:pivotFmt>
      <c:pivotFmt>
        <c:idx val="162"/>
        <c:dLbl>
          <c:idx val="0"/>
          <c:showLegendKey val="0"/>
          <c:showVal val="0"/>
          <c:showCatName val="0"/>
          <c:showSerName val="0"/>
          <c:showPercent val="0"/>
          <c:showBubbleSize val="0"/>
          <c:extLst>
            <c:ext xmlns:c15="http://schemas.microsoft.com/office/drawing/2012/chart" uri="{CE6537A1-D6FC-4f65-9D91-7224C49458BB}"/>
          </c:extLst>
        </c:dLbl>
      </c:pivotFmt>
      <c:pivotFmt>
        <c:idx val="163"/>
        <c:dLbl>
          <c:idx val="0"/>
          <c:showLegendKey val="0"/>
          <c:showVal val="0"/>
          <c:showCatName val="0"/>
          <c:showSerName val="0"/>
          <c:showPercent val="0"/>
          <c:showBubbleSize val="0"/>
          <c:extLst>
            <c:ext xmlns:c15="http://schemas.microsoft.com/office/drawing/2012/chart" uri="{CE6537A1-D6FC-4f65-9D91-7224C49458BB}"/>
          </c:extLst>
        </c:dLbl>
      </c:pivotFmt>
      <c:pivotFmt>
        <c:idx val="164"/>
        <c:dLbl>
          <c:idx val="0"/>
          <c:showLegendKey val="0"/>
          <c:showVal val="0"/>
          <c:showCatName val="0"/>
          <c:showSerName val="0"/>
          <c:showPercent val="0"/>
          <c:showBubbleSize val="0"/>
          <c:extLst>
            <c:ext xmlns:c15="http://schemas.microsoft.com/office/drawing/2012/chart" uri="{CE6537A1-D6FC-4f65-9D91-7224C49458BB}"/>
          </c:extLst>
        </c:dLbl>
      </c:pivotFmt>
      <c:pivotFmt>
        <c:idx val="165"/>
        <c:dLbl>
          <c:idx val="0"/>
          <c:showLegendKey val="0"/>
          <c:showVal val="0"/>
          <c:showCatName val="0"/>
          <c:showSerName val="0"/>
          <c:showPercent val="0"/>
          <c:showBubbleSize val="0"/>
          <c:extLst>
            <c:ext xmlns:c15="http://schemas.microsoft.com/office/drawing/2012/chart" uri="{CE6537A1-D6FC-4f65-9D91-7224C49458BB}"/>
          </c:extLst>
        </c:dLbl>
      </c:pivotFmt>
      <c:pivotFmt>
        <c:idx val="166"/>
        <c:dLbl>
          <c:idx val="0"/>
          <c:showLegendKey val="0"/>
          <c:showVal val="0"/>
          <c:showCatName val="0"/>
          <c:showSerName val="0"/>
          <c:showPercent val="0"/>
          <c:showBubbleSize val="0"/>
          <c:extLst>
            <c:ext xmlns:c15="http://schemas.microsoft.com/office/drawing/2012/chart" uri="{CE6537A1-D6FC-4f65-9D91-7224C49458BB}"/>
          </c:extLst>
        </c:dLbl>
      </c:pivotFmt>
      <c:pivotFmt>
        <c:idx val="167"/>
        <c:dLbl>
          <c:idx val="0"/>
          <c:showLegendKey val="0"/>
          <c:showVal val="0"/>
          <c:showCatName val="0"/>
          <c:showSerName val="0"/>
          <c:showPercent val="0"/>
          <c:showBubbleSize val="0"/>
          <c:extLst>
            <c:ext xmlns:c15="http://schemas.microsoft.com/office/drawing/2012/chart" uri="{CE6537A1-D6FC-4f65-9D91-7224C49458BB}"/>
          </c:extLst>
        </c:dLbl>
      </c:pivotFmt>
      <c:pivotFmt>
        <c:idx val="168"/>
        <c:dLbl>
          <c:idx val="0"/>
          <c:showLegendKey val="0"/>
          <c:showVal val="0"/>
          <c:showCatName val="0"/>
          <c:showSerName val="0"/>
          <c:showPercent val="0"/>
          <c:showBubbleSize val="0"/>
          <c:extLst>
            <c:ext xmlns:c15="http://schemas.microsoft.com/office/drawing/2012/chart" uri="{CE6537A1-D6FC-4f65-9D91-7224C49458BB}"/>
          </c:extLst>
        </c:dLbl>
      </c:pivotFmt>
      <c:pivotFmt>
        <c:idx val="169"/>
        <c:dLbl>
          <c:idx val="0"/>
          <c:showLegendKey val="0"/>
          <c:showVal val="0"/>
          <c:showCatName val="0"/>
          <c:showSerName val="0"/>
          <c:showPercent val="0"/>
          <c:showBubbleSize val="0"/>
          <c:extLst>
            <c:ext xmlns:c15="http://schemas.microsoft.com/office/drawing/2012/chart" uri="{CE6537A1-D6FC-4f65-9D91-7224C49458BB}"/>
          </c:extLst>
        </c:dLbl>
      </c:pivotFmt>
      <c:pivotFmt>
        <c:idx val="170"/>
        <c:dLbl>
          <c:idx val="0"/>
          <c:showLegendKey val="0"/>
          <c:showVal val="0"/>
          <c:showCatName val="0"/>
          <c:showSerName val="0"/>
          <c:showPercent val="0"/>
          <c:showBubbleSize val="0"/>
          <c:extLst>
            <c:ext xmlns:c15="http://schemas.microsoft.com/office/drawing/2012/chart" uri="{CE6537A1-D6FC-4f65-9D91-7224C49458BB}"/>
          </c:extLst>
        </c:dLbl>
      </c:pivotFmt>
      <c:pivotFmt>
        <c:idx val="171"/>
        <c:dLbl>
          <c:idx val="0"/>
          <c:showLegendKey val="0"/>
          <c:showVal val="0"/>
          <c:showCatName val="0"/>
          <c:showSerName val="0"/>
          <c:showPercent val="0"/>
          <c:showBubbleSize val="0"/>
          <c:extLst>
            <c:ext xmlns:c15="http://schemas.microsoft.com/office/drawing/2012/chart" uri="{CE6537A1-D6FC-4f65-9D91-7224C49458BB}"/>
          </c:extLst>
        </c:dLbl>
      </c:pivotFmt>
      <c:pivotFmt>
        <c:idx val="172"/>
        <c:dLbl>
          <c:idx val="0"/>
          <c:showLegendKey val="0"/>
          <c:showVal val="0"/>
          <c:showCatName val="0"/>
          <c:showSerName val="0"/>
          <c:showPercent val="0"/>
          <c:showBubbleSize val="0"/>
          <c:extLst>
            <c:ext xmlns:c15="http://schemas.microsoft.com/office/drawing/2012/chart" uri="{CE6537A1-D6FC-4f65-9D91-7224C49458BB}"/>
          </c:extLst>
        </c:dLbl>
      </c:pivotFmt>
      <c:pivotFmt>
        <c:idx val="173"/>
        <c:dLbl>
          <c:idx val="0"/>
          <c:showLegendKey val="0"/>
          <c:showVal val="0"/>
          <c:showCatName val="0"/>
          <c:showSerName val="0"/>
          <c:showPercent val="0"/>
          <c:showBubbleSize val="0"/>
          <c:extLst>
            <c:ext xmlns:c15="http://schemas.microsoft.com/office/drawing/2012/chart" uri="{CE6537A1-D6FC-4f65-9D91-7224C49458BB}"/>
          </c:extLst>
        </c:dLbl>
      </c:pivotFmt>
      <c:pivotFmt>
        <c:idx val="174"/>
        <c:dLbl>
          <c:idx val="0"/>
          <c:showLegendKey val="0"/>
          <c:showVal val="0"/>
          <c:showCatName val="0"/>
          <c:showSerName val="0"/>
          <c:showPercent val="0"/>
          <c:showBubbleSize val="0"/>
          <c:extLst>
            <c:ext xmlns:c15="http://schemas.microsoft.com/office/drawing/2012/chart" uri="{CE6537A1-D6FC-4f65-9D91-7224C49458BB}"/>
          </c:extLst>
        </c:dLbl>
      </c:pivotFmt>
      <c:pivotFmt>
        <c:idx val="175"/>
        <c:dLbl>
          <c:idx val="0"/>
          <c:showLegendKey val="0"/>
          <c:showVal val="0"/>
          <c:showCatName val="0"/>
          <c:showSerName val="0"/>
          <c:showPercent val="0"/>
          <c:showBubbleSize val="0"/>
          <c:extLst>
            <c:ext xmlns:c15="http://schemas.microsoft.com/office/drawing/2012/chart" uri="{CE6537A1-D6FC-4f65-9D91-7224C49458BB}"/>
          </c:extLst>
        </c:dLbl>
      </c:pivotFmt>
      <c:pivotFmt>
        <c:idx val="176"/>
        <c:dLbl>
          <c:idx val="0"/>
          <c:showLegendKey val="0"/>
          <c:showVal val="0"/>
          <c:showCatName val="0"/>
          <c:showSerName val="0"/>
          <c:showPercent val="0"/>
          <c:showBubbleSize val="0"/>
          <c:extLst>
            <c:ext xmlns:c15="http://schemas.microsoft.com/office/drawing/2012/chart" uri="{CE6537A1-D6FC-4f65-9D91-7224C49458BB}"/>
          </c:extLst>
        </c:dLbl>
      </c:pivotFmt>
      <c:pivotFmt>
        <c:idx val="177"/>
        <c:dLbl>
          <c:idx val="0"/>
          <c:showLegendKey val="0"/>
          <c:showVal val="0"/>
          <c:showCatName val="0"/>
          <c:showSerName val="0"/>
          <c:showPercent val="0"/>
          <c:showBubbleSize val="0"/>
          <c:extLst>
            <c:ext xmlns:c15="http://schemas.microsoft.com/office/drawing/2012/chart" uri="{CE6537A1-D6FC-4f65-9D91-7224C49458BB}"/>
          </c:extLst>
        </c:dLbl>
      </c:pivotFmt>
      <c:pivotFmt>
        <c:idx val="178"/>
        <c:dLbl>
          <c:idx val="0"/>
          <c:showLegendKey val="0"/>
          <c:showVal val="0"/>
          <c:showCatName val="0"/>
          <c:showSerName val="0"/>
          <c:showPercent val="0"/>
          <c:showBubbleSize val="0"/>
          <c:extLst>
            <c:ext xmlns:c15="http://schemas.microsoft.com/office/drawing/2012/chart" uri="{CE6537A1-D6FC-4f65-9D91-7224C49458BB}"/>
          </c:extLst>
        </c:dLbl>
      </c:pivotFmt>
      <c:pivotFmt>
        <c:idx val="179"/>
        <c:dLbl>
          <c:idx val="0"/>
          <c:showLegendKey val="0"/>
          <c:showVal val="0"/>
          <c:showCatName val="0"/>
          <c:showSerName val="0"/>
          <c:showPercent val="0"/>
          <c:showBubbleSize val="0"/>
          <c:extLst>
            <c:ext xmlns:c15="http://schemas.microsoft.com/office/drawing/2012/chart" uri="{CE6537A1-D6FC-4f65-9D91-7224C49458BB}"/>
          </c:extLst>
        </c:dLbl>
      </c:pivotFmt>
      <c:pivotFmt>
        <c:idx val="180"/>
        <c:dLbl>
          <c:idx val="0"/>
          <c:showLegendKey val="0"/>
          <c:showVal val="0"/>
          <c:showCatName val="0"/>
          <c:showSerName val="0"/>
          <c:showPercent val="0"/>
          <c:showBubbleSize val="0"/>
          <c:extLst>
            <c:ext xmlns:c15="http://schemas.microsoft.com/office/drawing/2012/chart" uri="{CE6537A1-D6FC-4f65-9D91-7224C49458BB}"/>
          </c:extLst>
        </c:dLbl>
      </c:pivotFmt>
      <c:pivotFmt>
        <c:idx val="181"/>
        <c:dLbl>
          <c:idx val="0"/>
          <c:showLegendKey val="0"/>
          <c:showVal val="0"/>
          <c:showCatName val="0"/>
          <c:showSerName val="0"/>
          <c:showPercent val="0"/>
          <c:showBubbleSize val="0"/>
          <c:extLst>
            <c:ext xmlns:c15="http://schemas.microsoft.com/office/drawing/2012/chart" uri="{CE6537A1-D6FC-4f65-9D91-7224C49458BB}"/>
          </c:extLst>
        </c:dLbl>
      </c:pivotFmt>
      <c:pivotFmt>
        <c:idx val="182"/>
        <c:dLbl>
          <c:idx val="0"/>
          <c:showLegendKey val="0"/>
          <c:showVal val="0"/>
          <c:showCatName val="0"/>
          <c:showSerName val="0"/>
          <c:showPercent val="0"/>
          <c:showBubbleSize val="0"/>
          <c:extLst>
            <c:ext xmlns:c15="http://schemas.microsoft.com/office/drawing/2012/chart" uri="{CE6537A1-D6FC-4f65-9D91-7224C49458BB}"/>
          </c:extLst>
        </c:dLbl>
      </c:pivotFmt>
      <c:pivotFmt>
        <c:idx val="183"/>
        <c:dLbl>
          <c:idx val="0"/>
          <c:showLegendKey val="0"/>
          <c:showVal val="0"/>
          <c:showCatName val="0"/>
          <c:showSerName val="0"/>
          <c:showPercent val="0"/>
          <c:showBubbleSize val="0"/>
          <c:extLst>
            <c:ext xmlns:c15="http://schemas.microsoft.com/office/drawing/2012/chart" uri="{CE6537A1-D6FC-4f65-9D91-7224C49458BB}"/>
          </c:extLst>
        </c:dLbl>
      </c:pivotFmt>
      <c:pivotFmt>
        <c:idx val="184"/>
        <c:dLbl>
          <c:idx val="0"/>
          <c:showLegendKey val="0"/>
          <c:showVal val="0"/>
          <c:showCatName val="0"/>
          <c:showSerName val="0"/>
          <c:showPercent val="0"/>
          <c:showBubbleSize val="0"/>
          <c:extLst>
            <c:ext xmlns:c15="http://schemas.microsoft.com/office/drawing/2012/chart" uri="{CE6537A1-D6FC-4f65-9D91-7224C49458BB}"/>
          </c:extLst>
        </c:dLbl>
      </c:pivotFmt>
      <c:pivotFmt>
        <c:idx val="185"/>
        <c:dLbl>
          <c:idx val="0"/>
          <c:showLegendKey val="0"/>
          <c:showVal val="0"/>
          <c:showCatName val="0"/>
          <c:showSerName val="0"/>
          <c:showPercent val="0"/>
          <c:showBubbleSize val="0"/>
          <c:extLst>
            <c:ext xmlns:c15="http://schemas.microsoft.com/office/drawing/2012/chart" uri="{CE6537A1-D6FC-4f65-9D91-7224C49458BB}"/>
          </c:extLst>
        </c:dLbl>
      </c:pivotFmt>
      <c:pivotFmt>
        <c:idx val="186"/>
        <c:dLbl>
          <c:idx val="0"/>
          <c:showLegendKey val="0"/>
          <c:showVal val="0"/>
          <c:showCatName val="0"/>
          <c:showSerName val="0"/>
          <c:showPercent val="0"/>
          <c:showBubbleSize val="0"/>
          <c:extLst>
            <c:ext xmlns:c15="http://schemas.microsoft.com/office/drawing/2012/chart" uri="{CE6537A1-D6FC-4f65-9D91-7224C49458BB}"/>
          </c:extLst>
        </c:dLbl>
      </c:pivotFmt>
      <c:pivotFmt>
        <c:idx val="187"/>
        <c:dLbl>
          <c:idx val="0"/>
          <c:showLegendKey val="0"/>
          <c:showVal val="0"/>
          <c:showCatName val="0"/>
          <c:showSerName val="0"/>
          <c:showPercent val="0"/>
          <c:showBubbleSize val="0"/>
          <c:extLst>
            <c:ext xmlns:c15="http://schemas.microsoft.com/office/drawing/2012/chart" uri="{CE6537A1-D6FC-4f65-9D91-7224C49458BB}"/>
          </c:extLst>
        </c:dLbl>
      </c:pivotFmt>
      <c:pivotFmt>
        <c:idx val="188"/>
        <c:dLbl>
          <c:idx val="0"/>
          <c:showLegendKey val="0"/>
          <c:showVal val="0"/>
          <c:showCatName val="0"/>
          <c:showSerName val="0"/>
          <c:showPercent val="0"/>
          <c:showBubbleSize val="0"/>
          <c:extLst>
            <c:ext xmlns:c15="http://schemas.microsoft.com/office/drawing/2012/chart" uri="{CE6537A1-D6FC-4f65-9D91-7224C49458BB}"/>
          </c:extLst>
        </c:dLbl>
      </c:pivotFmt>
      <c:pivotFmt>
        <c:idx val="189"/>
        <c:dLbl>
          <c:idx val="0"/>
          <c:showLegendKey val="0"/>
          <c:showVal val="0"/>
          <c:showCatName val="0"/>
          <c:showSerName val="0"/>
          <c:showPercent val="0"/>
          <c:showBubbleSize val="0"/>
          <c:extLst>
            <c:ext xmlns:c15="http://schemas.microsoft.com/office/drawing/2012/chart" uri="{CE6537A1-D6FC-4f65-9D91-7224C49458BB}"/>
          </c:extLst>
        </c:dLbl>
      </c:pivotFmt>
      <c:pivotFmt>
        <c:idx val="190"/>
        <c:dLbl>
          <c:idx val="0"/>
          <c:showLegendKey val="0"/>
          <c:showVal val="0"/>
          <c:showCatName val="0"/>
          <c:showSerName val="0"/>
          <c:showPercent val="0"/>
          <c:showBubbleSize val="0"/>
          <c:extLst>
            <c:ext xmlns:c15="http://schemas.microsoft.com/office/drawing/2012/chart" uri="{CE6537A1-D6FC-4f65-9D91-7224C49458BB}"/>
          </c:extLst>
        </c:dLbl>
      </c:pivotFmt>
      <c:pivotFmt>
        <c:idx val="191"/>
        <c:dLbl>
          <c:idx val="0"/>
          <c:showLegendKey val="0"/>
          <c:showVal val="0"/>
          <c:showCatName val="0"/>
          <c:showSerName val="0"/>
          <c:showPercent val="0"/>
          <c:showBubbleSize val="0"/>
          <c:extLst>
            <c:ext xmlns:c15="http://schemas.microsoft.com/office/drawing/2012/chart" uri="{CE6537A1-D6FC-4f65-9D91-7224C49458BB}"/>
          </c:extLst>
        </c:dLbl>
      </c:pivotFmt>
      <c:pivotFmt>
        <c:idx val="192"/>
        <c:dLbl>
          <c:idx val="0"/>
          <c:showLegendKey val="0"/>
          <c:showVal val="0"/>
          <c:showCatName val="0"/>
          <c:showSerName val="0"/>
          <c:showPercent val="0"/>
          <c:showBubbleSize val="0"/>
          <c:extLst>
            <c:ext xmlns:c15="http://schemas.microsoft.com/office/drawing/2012/chart" uri="{CE6537A1-D6FC-4f65-9D91-7224C49458BB}"/>
          </c:extLst>
        </c:dLbl>
      </c:pivotFmt>
      <c:pivotFmt>
        <c:idx val="193"/>
        <c:dLbl>
          <c:idx val="0"/>
          <c:showLegendKey val="0"/>
          <c:showVal val="0"/>
          <c:showCatName val="0"/>
          <c:showSerName val="0"/>
          <c:showPercent val="0"/>
          <c:showBubbleSize val="0"/>
          <c:extLst>
            <c:ext xmlns:c15="http://schemas.microsoft.com/office/drawing/2012/chart" uri="{CE6537A1-D6FC-4f65-9D91-7224C49458BB}"/>
          </c:extLst>
        </c:dLbl>
      </c:pivotFmt>
      <c:pivotFmt>
        <c:idx val="194"/>
        <c:dLbl>
          <c:idx val="0"/>
          <c:showLegendKey val="0"/>
          <c:showVal val="0"/>
          <c:showCatName val="0"/>
          <c:showSerName val="0"/>
          <c:showPercent val="0"/>
          <c:showBubbleSize val="0"/>
          <c:extLst>
            <c:ext xmlns:c15="http://schemas.microsoft.com/office/drawing/2012/chart" uri="{CE6537A1-D6FC-4f65-9D91-7224C49458BB}"/>
          </c:extLst>
        </c:dLbl>
      </c:pivotFmt>
      <c:pivotFmt>
        <c:idx val="195"/>
        <c:dLbl>
          <c:idx val="0"/>
          <c:showLegendKey val="0"/>
          <c:showVal val="0"/>
          <c:showCatName val="0"/>
          <c:showSerName val="0"/>
          <c:showPercent val="0"/>
          <c:showBubbleSize val="0"/>
          <c:extLst>
            <c:ext xmlns:c15="http://schemas.microsoft.com/office/drawing/2012/chart" uri="{CE6537A1-D6FC-4f65-9D91-7224C49458BB}"/>
          </c:extLst>
        </c:dLbl>
      </c:pivotFmt>
      <c:pivotFmt>
        <c:idx val="196"/>
        <c:dLbl>
          <c:idx val="0"/>
          <c:showLegendKey val="0"/>
          <c:showVal val="0"/>
          <c:showCatName val="0"/>
          <c:showSerName val="0"/>
          <c:showPercent val="0"/>
          <c:showBubbleSize val="0"/>
          <c:extLst>
            <c:ext xmlns:c15="http://schemas.microsoft.com/office/drawing/2012/chart" uri="{CE6537A1-D6FC-4f65-9D91-7224C49458BB}"/>
          </c:extLst>
        </c:dLbl>
      </c:pivotFmt>
      <c:pivotFmt>
        <c:idx val="197"/>
        <c:dLbl>
          <c:idx val="0"/>
          <c:showLegendKey val="0"/>
          <c:showVal val="0"/>
          <c:showCatName val="0"/>
          <c:showSerName val="0"/>
          <c:showPercent val="0"/>
          <c:showBubbleSize val="0"/>
          <c:extLst>
            <c:ext xmlns:c15="http://schemas.microsoft.com/office/drawing/2012/chart" uri="{CE6537A1-D6FC-4f65-9D91-7224C49458BB}"/>
          </c:extLst>
        </c:dLbl>
      </c:pivotFmt>
      <c:pivotFmt>
        <c:idx val="198"/>
        <c:dLbl>
          <c:idx val="0"/>
          <c:showLegendKey val="0"/>
          <c:showVal val="0"/>
          <c:showCatName val="0"/>
          <c:showSerName val="0"/>
          <c:showPercent val="0"/>
          <c:showBubbleSize val="0"/>
          <c:extLst>
            <c:ext xmlns:c15="http://schemas.microsoft.com/office/drawing/2012/chart" uri="{CE6537A1-D6FC-4f65-9D91-7224C49458BB}"/>
          </c:extLst>
        </c:dLbl>
      </c:pivotFmt>
      <c:pivotFmt>
        <c:idx val="199"/>
        <c:dLbl>
          <c:idx val="0"/>
          <c:showLegendKey val="0"/>
          <c:showVal val="0"/>
          <c:showCatName val="0"/>
          <c:showSerName val="0"/>
          <c:showPercent val="0"/>
          <c:showBubbleSize val="0"/>
          <c:extLst>
            <c:ext xmlns:c15="http://schemas.microsoft.com/office/drawing/2012/chart" uri="{CE6537A1-D6FC-4f65-9D91-7224C49458BB}"/>
          </c:extLst>
        </c:dLbl>
      </c:pivotFmt>
      <c:pivotFmt>
        <c:idx val="200"/>
        <c:dLbl>
          <c:idx val="0"/>
          <c:showLegendKey val="0"/>
          <c:showVal val="0"/>
          <c:showCatName val="0"/>
          <c:showSerName val="0"/>
          <c:showPercent val="0"/>
          <c:showBubbleSize val="0"/>
          <c:extLst>
            <c:ext xmlns:c15="http://schemas.microsoft.com/office/drawing/2012/chart" uri="{CE6537A1-D6FC-4f65-9D91-7224C49458BB}"/>
          </c:extLst>
        </c:dLbl>
      </c:pivotFmt>
      <c:pivotFmt>
        <c:idx val="201"/>
        <c:dLbl>
          <c:idx val="0"/>
          <c:showLegendKey val="0"/>
          <c:showVal val="0"/>
          <c:showCatName val="0"/>
          <c:showSerName val="0"/>
          <c:showPercent val="0"/>
          <c:showBubbleSize val="0"/>
          <c:extLst>
            <c:ext xmlns:c15="http://schemas.microsoft.com/office/drawing/2012/chart" uri="{CE6537A1-D6FC-4f65-9D91-7224C49458BB}"/>
          </c:extLst>
        </c:dLbl>
      </c:pivotFmt>
      <c:pivotFmt>
        <c:idx val="202"/>
        <c:dLbl>
          <c:idx val="0"/>
          <c:showLegendKey val="0"/>
          <c:showVal val="0"/>
          <c:showCatName val="0"/>
          <c:showSerName val="0"/>
          <c:showPercent val="0"/>
          <c:showBubbleSize val="0"/>
          <c:extLst>
            <c:ext xmlns:c15="http://schemas.microsoft.com/office/drawing/2012/chart" uri="{CE6537A1-D6FC-4f65-9D91-7224C49458BB}"/>
          </c:extLst>
        </c:dLbl>
      </c:pivotFmt>
      <c:pivotFmt>
        <c:idx val="203"/>
        <c:dLbl>
          <c:idx val="0"/>
          <c:showLegendKey val="0"/>
          <c:showVal val="0"/>
          <c:showCatName val="0"/>
          <c:showSerName val="0"/>
          <c:showPercent val="0"/>
          <c:showBubbleSize val="0"/>
          <c:extLst>
            <c:ext xmlns:c15="http://schemas.microsoft.com/office/drawing/2012/chart" uri="{CE6537A1-D6FC-4f65-9D91-7224C49458BB}"/>
          </c:extLst>
        </c:dLbl>
      </c:pivotFmt>
      <c:pivotFmt>
        <c:idx val="204"/>
        <c:dLbl>
          <c:idx val="0"/>
          <c:showLegendKey val="0"/>
          <c:showVal val="0"/>
          <c:showCatName val="0"/>
          <c:showSerName val="0"/>
          <c:showPercent val="0"/>
          <c:showBubbleSize val="0"/>
          <c:extLst>
            <c:ext xmlns:c15="http://schemas.microsoft.com/office/drawing/2012/chart" uri="{CE6537A1-D6FC-4f65-9D91-7224C49458BB}"/>
          </c:extLst>
        </c:dLbl>
      </c:pivotFmt>
      <c:pivotFmt>
        <c:idx val="205"/>
        <c:dLbl>
          <c:idx val="0"/>
          <c:showLegendKey val="0"/>
          <c:showVal val="0"/>
          <c:showCatName val="0"/>
          <c:showSerName val="0"/>
          <c:showPercent val="0"/>
          <c:showBubbleSize val="0"/>
          <c:extLst>
            <c:ext xmlns:c15="http://schemas.microsoft.com/office/drawing/2012/chart" uri="{CE6537A1-D6FC-4f65-9D91-7224C49458BB}"/>
          </c:extLst>
        </c:dLbl>
      </c:pivotFmt>
      <c:pivotFmt>
        <c:idx val="206"/>
        <c:dLbl>
          <c:idx val="0"/>
          <c:showLegendKey val="0"/>
          <c:showVal val="0"/>
          <c:showCatName val="0"/>
          <c:showSerName val="0"/>
          <c:showPercent val="0"/>
          <c:showBubbleSize val="0"/>
          <c:extLst>
            <c:ext xmlns:c15="http://schemas.microsoft.com/office/drawing/2012/chart" uri="{CE6537A1-D6FC-4f65-9D91-7224C49458BB}"/>
          </c:extLst>
        </c:dLbl>
      </c:pivotFmt>
      <c:pivotFmt>
        <c:idx val="207"/>
        <c:dLbl>
          <c:idx val="0"/>
          <c:showLegendKey val="0"/>
          <c:showVal val="0"/>
          <c:showCatName val="0"/>
          <c:showSerName val="0"/>
          <c:showPercent val="0"/>
          <c:showBubbleSize val="0"/>
          <c:extLst>
            <c:ext xmlns:c15="http://schemas.microsoft.com/office/drawing/2012/chart" uri="{CE6537A1-D6FC-4f65-9D91-7224C49458BB}"/>
          </c:extLst>
        </c:dLbl>
      </c:pivotFmt>
      <c:pivotFmt>
        <c:idx val="208"/>
        <c:dLbl>
          <c:idx val="0"/>
          <c:showLegendKey val="0"/>
          <c:showVal val="0"/>
          <c:showCatName val="0"/>
          <c:showSerName val="0"/>
          <c:showPercent val="0"/>
          <c:showBubbleSize val="0"/>
          <c:extLst>
            <c:ext xmlns:c15="http://schemas.microsoft.com/office/drawing/2012/chart" uri="{CE6537A1-D6FC-4f65-9D91-7224C49458BB}"/>
          </c:extLst>
        </c:dLbl>
      </c:pivotFmt>
      <c:pivotFmt>
        <c:idx val="209"/>
        <c:dLbl>
          <c:idx val="0"/>
          <c:showLegendKey val="0"/>
          <c:showVal val="0"/>
          <c:showCatName val="0"/>
          <c:showSerName val="0"/>
          <c:showPercent val="0"/>
          <c:showBubbleSize val="0"/>
          <c:extLst>
            <c:ext xmlns:c15="http://schemas.microsoft.com/office/drawing/2012/chart" uri="{CE6537A1-D6FC-4f65-9D91-7224C49458BB}"/>
          </c:extLst>
        </c:dLbl>
      </c:pivotFmt>
      <c:pivotFmt>
        <c:idx val="210"/>
        <c:dLbl>
          <c:idx val="0"/>
          <c:showLegendKey val="0"/>
          <c:showVal val="0"/>
          <c:showCatName val="0"/>
          <c:showSerName val="0"/>
          <c:showPercent val="0"/>
          <c:showBubbleSize val="0"/>
          <c:extLst>
            <c:ext xmlns:c15="http://schemas.microsoft.com/office/drawing/2012/chart" uri="{CE6537A1-D6FC-4f65-9D91-7224C49458BB}"/>
          </c:extLst>
        </c:dLbl>
      </c:pivotFmt>
      <c:pivotFmt>
        <c:idx val="211"/>
        <c:dLbl>
          <c:idx val="0"/>
          <c:showLegendKey val="0"/>
          <c:showVal val="0"/>
          <c:showCatName val="0"/>
          <c:showSerName val="0"/>
          <c:showPercent val="0"/>
          <c:showBubbleSize val="0"/>
          <c:extLst>
            <c:ext xmlns:c15="http://schemas.microsoft.com/office/drawing/2012/chart" uri="{CE6537A1-D6FC-4f65-9D91-7224C49458BB}"/>
          </c:extLst>
        </c:dLbl>
      </c:pivotFmt>
      <c:pivotFmt>
        <c:idx val="212"/>
        <c:dLbl>
          <c:idx val="0"/>
          <c:showLegendKey val="0"/>
          <c:showVal val="0"/>
          <c:showCatName val="0"/>
          <c:showSerName val="0"/>
          <c:showPercent val="0"/>
          <c:showBubbleSize val="0"/>
          <c:extLst>
            <c:ext xmlns:c15="http://schemas.microsoft.com/office/drawing/2012/chart" uri="{CE6537A1-D6FC-4f65-9D91-7224C49458BB}"/>
          </c:extLst>
        </c:dLbl>
      </c:pivotFmt>
      <c:pivotFmt>
        <c:idx val="213"/>
        <c:dLbl>
          <c:idx val="0"/>
          <c:showLegendKey val="0"/>
          <c:showVal val="0"/>
          <c:showCatName val="0"/>
          <c:showSerName val="0"/>
          <c:showPercent val="0"/>
          <c:showBubbleSize val="0"/>
          <c:extLst>
            <c:ext xmlns:c15="http://schemas.microsoft.com/office/drawing/2012/chart" uri="{CE6537A1-D6FC-4f65-9D91-7224C49458BB}"/>
          </c:extLst>
        </c:dLbl>
      </c:pivotFmt>
      <c:pivotFmt>
        <c:idx val="214"/>
        <c:dLbl>
          <c:idx val="0"/>
          <c:showLegendKey val="0"/>
          <c:showVal val="0"/>
          <c:showCatName val="0"/>
          <c:showSerName val="0"/>
          <c:showPercent val="0"/>
          <c:showBubbleSize val="0"/>
          <c:extLst>
            <c:ext xmlns:c15="http://schemas.microsoft.com/office/drawing/2012/chart" uri="{CE6537A1-D6FC-4f65-9D91-7224C49458BB}"/>
          </c:extLst>
        </c:dLbl>
      </c:pivotFmt>
      <c:pivotFmt>
        <c:idx val="215"/>
        <c:dLbl>
          <c:idx val="0"/>
          <c:showLegendKey val="0"/>
          <c:showVal val="0"/>
          <c:showCatName val="0"/>
          <c:showSerName val="0"/>
          <c:showPercent val="0"/>
          <c:showBubbleSize val="0"/>
          <c:extLst>
            <c:ext xmlns:c15="http://schemas.microsoft.com/office/drawing/2012/chart" uri="{CE6537A1-D6FC-4f65-9D91-7224C49458BB}"/>
          </c:extLst>
        </c:dLbl>
      </c:pivotFmt>
      <c:pivotFmt>
        <c:idx val="216"/>
        <c:dLbl>
          <c:idx val="0"/>
          <c:showLegendKey val="0"/>
          <c:showVal val="0"/>
          <c:showCatName val="0"/>
          <c:showSerName val="0"/>
          <c:showPercent val="0"/>
          <c:showBubbleSize val="0"/>
          <c:extLst>
            <c:ext xmlns:c15="http://schemas.microsoft.com/office/drawing/2012/chart" uri="{CE6537A1-D6FC-4f65-9D91-7224C49458BB}"/>
          </c:extLst>
        </c:dLbl>
      </c:pivotFmt>
      <c:pivotFmt>
        <c:idx val="217"/>
        <c:dLbl>
          <c:idx val="0"/>
          <c:showLegendKey val="0"/>
          <c:showVal val="0"/>
          <c:showCatName val="0"/>
          <c:showSerName val="0"/>
          <c:showPercent val="0"/>
          <c:showBubbleSize val="0"/>
          <c:extLst>
            <c:ext xmlns:c15="http://schemas.microsoft.com/office/drawing/2012/chart" uri="{CE6537A1-D6FC-4f65-9D91-7224C49458BB}"/>
          </c:extLst>
        </c:dLbl>
      </c:pivotFmt>
      <c:pivotFmt>
        <c:idx val="218"/>
        <c:dLbl>
          <c:idx val="0"/>
          <c:showLegendKey val="0"/>
          <c:showVal val="0"/>
          <c:showCatName val="0"/>
          <c:showSerName val="0"/>
          <c:showPercent val="0"/>
          <c:showBubbleSize val="0"/>
          <c:extLst>
            <c:ext xmlns:c15="http://schemas.microsoft.com/office/drawing/2012/chart" uri="{CE6537A1-D6FC-4f65-9D91-7224C49458BB}"/>
          </c:extLst>
        </c:dLbl>
      </c:pivotFmt>
      <c:pivotFmt>
        <c:idx val="219"/>
        <c:dLbl>
          <c:idx val="0"/>
          <c:showLegendKey val="0"/>
          <c:showVal val="0"/>
          <c:showCatName val="0"/>
          <c:showSerName val="0"/>
          <c:showPercent val="0"/>
          <c:showBubbleSize val="0"/>
          <c:extLst>
            <c:ext xmlns:c15="http://schemas.microsoft.com/office/drawing/2012/chart" uri="{CE6537A1-D6FC-4f65-9D91-7224C49458BB}"/>
          </c:extLst>
        </c:dLbl>
      </c:pivotFmt>
      <c:pivotFmt>
        <c:idx val="220"/>
        <c:dLbl>
          <c:idx val="0"/>
          <c:showLegendKey val="0"/>
          <c:showVal val="0"/>
          <c:showCatName val="0"/>
          <c:showSerName val="0"/>
          <c:showPercent val="0"/>
          <c:showBubbleSize val="0"/>
          <c:extLst>
            <c:ext xmlns:c15="http://schemas.microsoft.com/office/drawing/2012/chart" uri="{CE6537A1-D6FC-4f65-9D91-7224C49458BB}"/>
          </c:extLst>
        </c:dLbl>
      </c:pivotFmt>
      <c:pivotFmt>
        <c:idx val="221"/>
        <c:dLbl>
          <c:idx val="0"/>
          <c:showLegendKey val="0"/>
          <c:showVal val="0"/>
          <c:showCatName val="0"/>
          <c:showSerName val="0"/>
          <c:showPercent val="0"/>
          <c:showBubbleSize val="0"/>
          <c:extLst>
            <c:ext xmlns:c15="http://schemas.microsoft.com/office/drawing/2012/chart" uri="{CE6537A1-D6FC-4f65-9D91-7224C49458BB}"/>
          </c:extLst>
        </c:dLbl>
      </c:pivotFmt>
      <c:pivotFmt>
        <c:idx val="222"/>
        <c:dLbl>
          <c:idx val="0"/>
          <c:showLegendKey val="0"/>
          <c:showVal val="0"/>
          <c:showCatName val="0"/>
          <c:showSerName val="0"/>
          <c:showPercent val="0"/>
          <c:showBubbleSize val="0"/>
          <c:extLst>
            <c:ext xmlns:c15="http://schemas.microsoft.com/office/drawing/2012/chart" uri="{CE6537A1-D6FC-4f65-9D91-7224C49458BB}"/>
          </c:extLst>
        </c:dLbl>
      </c:pivotFmt>
      <c:pivotFmt>
        <c:idx val="223"/>
        <c:dLbl>
          <c:idx val="0"/>
          <c:showLegendKey val="0"/>
          <c:showVal val="0"/>
          <c:showCatName val="0"/>
          <c:showSerName val="0"/>
          <c:showPercent val="0"/>
          <c:showBubbleSize val="0"/>
          <c:extLst>
            <c:ext xmlns:c15="http://schemas.microsoft.com/office/drawing/2012/chart" uri="{CE6537A1-D6FC-4f65-9D91-7224C49458BB}"/>
          </c:extLst>
        </c:dLbl>
      </c:pivotFmt>
      <c:pivotFmt>
        <c:idx val="224"/>
        <c:dLbl>
          <c:idx val="0"/>
          <c:showLegendKey val="0"/>
          <c:showVal val="0"/>
          <c:showCatName val="0"/>
          <c:showSerName val="0"/>
          <c:showPercent val="0"/>
          <c:showBubbleSize val="0"/>
          <c:extLst>
            <c:ext xmlns:c15="http://schemas.microsoft.com/office/drawing/2012/chart" uri="{CE6537A1-D6FC-4f65-9D91-7224C49458BB}"/>
          </c:extLst>
        </c:dLbl>
      </c:pivotFmt>
      <c:pivotFmt>
        <c:idx val="225"/>
        <c:dLbl>
          <c:idx val="0"/>
          <c:showLegendKey val="0"/>
          <c:showVal val="0"/>
          <c:showCatName val="0"/>
          <c:showSerName val="0"/>
          <c:showPercent val="0"/>
          <c:showBubbleSize val="0"/>
          <c:extLst>
            <c:ext xmlns:c15="http://schemas.microsoft.com/office/drawing/2012/chart" uri="{CE6537A1-D6FC-4f65-9D91-7224C49458BB}"/>
          </c:extLst>
        </c:dLbl>
      </c:pivotFmt>
      <c:pivotFmt>
        <c:idx val="226"/>
        <c:dLbl>
          <c:idx val="0"/>
          <c:showLegendKey val="0"/>
          <c:showVal val="0"/>
          <c:showCatName val="0"/>
          <c:showSerName val="0"/>
          <c:showPercent val="0"/>
          <c:showBubbleSize val="0"/>
          <c:extLst>
            <c:ext xmlns:c15="http://schemas.microsoft.com/office/drawing/2012/chart" uri="{CE6537A1-D6FC-4f65-9D91-7224C49458BB}"/>
          </c:extLst>
        </c:dLbl>
      </c:pivotFmt>
      <c:pivotFmt>
        <c:idx val="227"/>
        <c:dLbl>
          <c:idx val="0"/>
          <c:showLegendKey val="0"/>
          <c:showVal val="0"/>
          <c:showCatName val="0"/>
          <c:showSerName val="0"/>
          <c:showPercent val="0"/>
          <c:showBubbleSize val="0"/>
          <c:extLst>
            <c:ext xmlns:c15="http://schemas.microsoft.com/office/drawing/2012/chart" uri="{CE6537A1-D6FC-4f65-9D91-7224C49458BB}"/>
          </c:extLst>
        </c:dLbl>
      </c:pivotFmt>
      <c:pivotFmt>
        <c:idx val="228"/>
        <c:dLbl>
          <c:idx val="0"/>
          <c:showLegendKey val="0"/>
          <c:showVal val="0"/>
          <c:showCatName val="0"/>
          <c:showSerName val="0"/>
          <c:showPercent val="0"/>
          <c:showBubbleSize val="0"/>
          <c:extLst>
            <c:ext xmlns:c15="http://schemas.microsoft.com/office/drawing/2012/chart" uri="{CE6537A1-D6FC-4f65-9D91-7224C49458BB}"/>
          </c:extLst>
        </c:dLbl>
      </c:pivotFmt>
      <c:pivotFmt>
        <c:idx val="229"/>
        <c:dLbl>
          <c:idx val="0"/>
          <c:showLegendKey val="0"/>
          <c:showVal val="0"/>
          <c:showCatName val="0"/>
          <c:showSerName val="0"/>
          <c:showPercent val="0"/>
          <c:showBubbleSize val="0"/>
          <c:extLst>
            <c:ext xmlns:c15="http://schemas.microsoft.com/office/drawing/2012/chart" uri="{CE6537A1-D6FC-4f65-9D91-7224C49458BB}"/>
          </c:extLst>
        </c:dLbl>
      </c:pivotFmt>
      <c:pivotFmt>
        <c:idx val="230"/>
        <c:dLbl>
          <c:idx val="0"/>
          <c:showLegendKey val="0"/>
          <c:showVal val="0"/>
          <c:showCatName val="0"/>
          <c:showSerName val="0"/>
          <c:showPercent val="0"/>
          <c:showBubbleSize val="0"/>
          <c:extLst>
            <c:ext xmlns:c15="http://schemas.microsoft.com/office/drawing/2012/chart" uri="{CE6537A1-D6FC-4f65-9D91-7224C49458BB}"/>
          </c:extLst>
        </c:dLbl>
      </c:pivotFmt>
      <c:pivotFmt>
        <c:idx val="231"/>
        <c:dLbl>
          <c:idx val="0"/>
          <c:showLegendKey val="0"/>
          <c:showVal val="0"/>
          <c:showCatName val="0"/>
          <c:showSerName val="0"/>
          <c:showPercent val="0"/>
          <c:showBubbleSize val="0"/>
          <c:extLst>
            <c:ext xmlns:c15="http://schemas.microsoft.com/office/drawing/2012/chart" uri="{CE6537A1-D6FC-4f65-9D91-7224C49458BB}"/>
          </c:extLst>
        </c:dLbl>
      </c:pivotFmt>
      <c:pivotFmt>
        <c:idx val="232"/>
        <c:dLbl>
          <c:idx val="0"/>
          <c:showLegendKey val="0"/>
          <c:showVal val="0"/>
          <c:showCatName val="0"/>
          <c:showSerName val="0"/>
          <c:showPercent val="0"/>
          <c:showBubbleSize val="0"/>
          <c:extLst>
            <c:ext xmlns:c15="http://schemas.microsoft.com/office/drawing/2012/chart" uri="{CE6537A1-D6FC-4f65-9D91-7224C49458BB}"/>
          </c:extLst>
        </c:dLbl>
      </c:pivotFmt>
      <c:pivotFmt>
        <c:idx val="233"/>
        <c:dLbl>
          <c:idx val="0"/>
          <c:showLegendKey val="0"/>
          <c:showVal val="0"/>
          <c:showCatName val="0"/>
          <c:showSerName val="0"/>
          <c:showPercent val="0"/>
          <c:showBubbleSize val="0"/>
          <c:extLst>
            <c:ext xmlns:c15="http://schemas.microsoft.com/office/drawing/2012/chart" uri="{CE6537A1-D6FC-4f65-9D91-7224C49458BB}"/>
          </c:extLst>
        </c:dLbl>
      </c:pivotFmt>
      <c:pivotFmt>
        <c:idx val="234"/>
        <c:dLbl>
          <c:idx val="0"/>
          <c:showLegendKey val="0"/>
          <c:showVal val="0"/>
          <c:showCatName val="0"/>
          <c:showSerName val="0"/>
          <c:showPercent val="0"/>
          <c:showBubbleSize val="0"/>
          <c:extLst>
            <c:ext xmlns:c15="http://schemas.microsoft.com/office/drawing/2012/chart" uri="{CE6537A1-D6FC-4f65-9D91-7224C49458BB}"/>
          </c:extLst>
        </c:dLbl>
      </c:pivotFmt>
      <c:pivotFmt>
        <c:idx val="235"/>
        <c:dLbl>
          <c:idx val="0"/>
          <c:showLegendKey val="0"/>
          <c:showVal val="0"/>
          <c:showCatName val="0"/>
          <c:showSerName val="0"/>
          <c:showPercent val="0"/>
          <c:showBubbleSize val="0"/>
          <c:extLst>
            <c:ext xmlns:c15="http://schemas.microsoft.com/office/drawing/2012/chart" uri="{CE6537A1-D6FC-4f65-9D91-7224C49458BB}"/>
          </c:extLst>
        </c:dLbl>
      </c:pivotFmt>
      <c:pivotFmt>
        <c:idx val="236"/>
        <c:dLbl>
          <c:idx val="0"/>
          <c:showLegendKey val="0"/>
          <c:showVal val="0"/>
          <c:showCatName val="0"/>
          <c:showSerName val="0"/>
          <c:showPercent val="0"/>
          <c:showBubbleSize val="0"/>
          <c:extLst>
            <c:ext xmlns:c15="http://schemas.microsoft.com/office/drawing/2012/chart" uri="{CE6537A1-D6FC-4f65-9D91-7224C49458BB}"/>
          </c:extLst>
        </c:dLbl>
      </c:pivotFmt>
      <c:pivotFmt>
        <c:idx val="237"/>
        <c:dLbl>
          <c:idx val="0"/>
          <c:showLegendKey val="0"/>
          <c:showVal val="0"/>
          <c:showCatName val="0"/>
          <c:showSerName val="0"/>
          <c:showPercent val="0"/>
          <c:showBubbleSize val="0"/>
          <c:extLst>
            <c:ext xmlns:c15="http://schemas.microsoft.com/office/drawing/2012/chart" uri="{CE6537A1-D6FC-4f65-9D91-7224C49458BB}"/>
          </c:extLst>
        </c:dLbl>
      </c:pivotFmt>
      <c:pivotFmt>
        <c:idx val="238"/>
        <c:dLbl>
          <c:idx val="0"/>
          <c:showLegendKey val="0"/>
          <c:showVal val="0"/>
          <c:showCatName val="0"/>
          <c:showSerName val="0"/>
          <c:showPercent val="0"/>
          <c:showBubbleSize val="0"/>
          <c:extLst>
            <c:ext xmlns:c15="http://schemas.microsoft.com/office/drawing/2012/chart" uri="{CE6537A1-D6FC-4f65-9D91-7224C49458BB}"/>
          </c:extLst>
        </c:dLbl>
      </c:pivotFmt>
      <c:pivotFmt>
        <c:idx val="239"/>
        <c:dLbl>
          <c:idx val="0"/>
          <c:showLegendKey val="0"/>
          <c:showVal val="0"/>
          <c:showCatName val="0"/>
          <c:showSerName val="0"/>
          <c:showPercent val="0"/>
          <c:showBubbleSize val="0"/>
          <c:extLst>
            <c:ext xmlns:c15="http://schemas.microsoft.com/office/drawing/2012/chart" uri="{CE6537A1-D6FC-4f65-9D91-7224C49458BB}"/>
          </c:extLst>
        </c:dLbl>
      </c:pivotFmt>
      <c:pivotFmt>
        <c:idx val="240"/>
        <c:dLbl>
          <c:idx val="0"/>
          <c:showLegendKey val="0"/>
          <c:showVal val="0"/>
          <c:showCatName val="0"/>
          <c:showSerName val="0"/>
          <c:showPercent val="0"/>
          <c:showBubbleSize val="0"/>
          <c:extLst>
            <c:ext xmlns:c15="http://schemas.microsoft.com/office/drawing/2012/chart" uri="{CE6537A1-D6FC-4f65-9D91-7224C49458BB}"/>
          </c:extLst>
        </c:dLbl>
      </c:pivotFmt>
      <c:pivotFmt>
        <c:idx val="241"/>
        <c:dLbl>
          <c:idx val="0"/>
          <c:showLegendKey val="0"/>
          <c:showVal val="0"/>
          <c:showCatName val="0"/>
          <c:showSerName val="0"/>
          <c:showPercent val="0"/>
          <c:showBubbleSize val="0"/>
          <c:extLst>
            <c:ext xmlns:c15="http://schemas.microsoft.com/office/drawing/2012/chart" uri="{CE6537A1-D6FC-4f65-9D91-7224C49458BB}"/>
          </c:extLst>
        </c:dLbl>
      </c:pivotFmt>
      <c:pivotFmt>
        <c:idx val="242"/>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10778225126898"/>
          <c:y val="0.16173341085424467"/>
          <c:w val="0.87330652346561988"/>
          <c:h val="0.64363563300272164"/>
        </c:manualLayout>
      </c:layout>
      <c:lineChart>
        <c:grouping val="standard"/>
        <c:varyColors val="0"/>
        <c:ser>
          <c:idx val="0"/>
          <c:order val="0"/>
          <c:tx>
            <c:strRef>
              <c:f>Motor_KPI!$C$9</c:f>
              <c:strCache>
                <c:ptCount val="1"/>
                <c:pt idx="0">
                  <c:v>Total</c:v>
                </c:pt>
              </c:strCache>
            </c:strRef>
          </c:tx>
          <c:spPr>
            <a:ln w="22225" cap="rnd" cmpd="sng" algn="ctr">
              <a:solidFill>
                <a:schemeClr val="accent5"/>
              </a:solidFill>
              <a:round/>
            </a:ln>
            <a:effectLst/>
          </c:spPr>
          <c:marker>
            <c:symbol val="circle"/>
            <c:size val="4"/>
            <c:spPr>
              <a:solidFill>
                <a:schemeClr val="accent5"/>
              </a:solidFill>
              <a:ln w="9525" cap="flat" cmpd="sng" algn="ctr">
                <a:solidFill>
                  <a:schemeClr val="accent5"/>
                </a:solidFill>
                <a:round/>
              </a:ln>
              <a:effectLst/>
            </c:spPr>
          </c:marker>
          <c:cat>
            <c:strRef>
              <c:f>Motor_KPI!$B$10:$B$22</c:f>
              <c:strCache>
                <c:ptCount val="12"/>
                <c:pt idx="0">
                  <c:v>ene</c:v>
                </c:pt>
                <c:pt idx="1">
                  <c:v>feb</c:v>
                </c:pt>
                <c:pt idx="2">
                  <c:v>mar</c:v>
                </c:pt>
                <c:pt idx="3">
                  <c:v>abr</c:v>
                </c:pt>
                <c:pt idx="4">
                  <c:v>may</c:v>
                </c:pt>
                <c:pt idx="5">
                  <c:v>jun</c:v>
                </c:pt>
                <c:pt idx="6">
                  <c:v>jul</c:v>
                </c:pt>
                <c:pt idx="7">
                  <c:v>ago</c:v>
                </c:pt>
                <c:pt idx="8">
                  <c:v>sept</c:v>
                </c:pt>
                <c:pt idx="9">
                  <c:v>oct</c:v>
                </c:pt>
                <c:pt idx="10">
                  <c:v>nov</c:v>
                </c:pt>
                <c:pt idx="11">
                  <c:v>dic</c:v>
                </c:pt>
              </c:strCache>
            </c:strRef>
          </c:cat>
          <c:val>
            <c:numRef>
              <c:f>Motor_KPI!$C$10:$C$22</c:f>
              <c:numCache>
                <c:formatCode>_-"$"\ * #,##0_-;\-"$"\ * #,##0_-;_-"$"\ * "-"??_-;_-@_-</c:formatCode>
                <c:ptCount val="12"/>
                <c:pt idx="0">
                  <c:v>98185105</c:v>
                </c:pt>
                <c:pt idx="1">
                  <c:v>91641993</c:v>
                </c:pt>
                <c:pt idx="2">
                  <c:v>148844446</c:v>
                </c:pt>
                <c:pt idx="3">
                  <c:v>106142725</c:v>
                </c:pt>
                <c:pt idx="4">
                  <c:v>120459486</c:v>
                </c:pt>
                <c:pt idx="5">
                  <c:v>105190357</c:v>
                </c:pt>
                <c:pt idx="6">
                  <c:v>114838367</c:v>
                </c:pt>
                <c:pt idx="7">
                  <c:v>156794791</c:v>
                </c:pt>
                <c:pt idx="8">
                  <c:v>109055960</c:v>
                </c:pt>
                <c:pt idx="9">
                  <c:v>115655447</c:v>
                </c:pt>
                <c:pt idx="10">
                  <c:v>87409090</c:v>
                </c:pt>
                <c:pt idx="11">
                  <c:v>122253805</c:v>
                </c:pt>
              </c:numCache>
            </c:numRef>
          </c:val>
          <c:smooth val="0"/>
          <c:extLst>
            <c:ext xmlns:c16="http://schemas.microsoft.com/office/drawing/2014/chart" uri="{C3380CC4-5D6E-409C-BE32-E72D297353CC}">
              <c16:uniqueId val="{00000000-9825-4EA9-85C4-1280F2AFC79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2098507695"/>
        <c:axId val="1624149231"/>
      </c:lineChart>
      <c:catAx>
        <c:axId val="2098507695"/>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1624149231"/>
        <c:crosses val="autoZero"/>
        <c:auto val="1"/>
        <c:lblAlgn val="ctr"/>
        <c:lblOffset val="100"/>
        <c:noMultiLvlLbl val="0"/>
      </c:catAx>
      <c:valAx>
        <c:axId val="1624149231"/>
        <c:scaling>
          <c:orientation val="minMax"/>
        </c:scaling>
        <c:delete val="0"/>
        <c:axPos val="l"/>
        <c:numFmt formatCode="_-&quot;$&quot;\ * #,##0_-;\-&quot;$&quot;\ * #,##0_-;_-&quot;$&quo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AR"/>
          </a:p>
        </c:txPr>
        <c:crossAx val="209850769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layout>
        <c:manualLayout>
          <c:xMode val="edge"/>
          <c:yMode val="edge"/>
          <c:x val="0.71164973202183834"/>
          <c:y val="0.90952600142473561"/>
          <c:w val="6.7504219378288766E-2"/>
          <c:h val="8.180759632829026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pivotSource>
    <c:name>[Entrega_Final_Dashboard_Calani_Viviana.xlsx]Motor_KPI!TablaDinámica7</c:name>
    <c:fmtId val="3"/>
  </c:pivotSource>
  <c:chart>
    <c:title>
      <c:tx>
        <c:rich>
          <a:bodyPr rot="0" spcFirstLastPara="1" vertOverflow="ellipsis" vert="horz" wrap="square" anchor="ctr" anchorCtr="1"/>
          <a:lstStyle/>
          <a:p>
            <a:pPr>
              <a:defRPr sz="1400" b="1" i="0" u="none" strike="noStrike" kern="1200" spc="0" baseline="0">
                <a:solidFill>
                  <a:srgbClr val="800080"/>
                </a:solidFill>
                <a:latin typeface="Georgia" panose="02040502050405020303" pitchFamily="18" charset="0"/>
                <a:ea typeface="+mn-ea"/>
                <a:cs typeface="+mn-cs"/>
              </a:defRPr>
            </a:pPr>
            <a:r>
              <a:rPr lang="en-US" b="1">
                <a:solidFill>
                  <a:srgbClr val="800080"/>
                </a:solidFill>
                <a:latin typeface="Georgia" panose="02040502050405020303" pitchFamily="18" charset="0"/>
              </a:rPr>
              <a:t>Beneficio</a:t>
            </a:r>
            <a:r>
              <a:rPr lang="en-US" b="1" baseline="0">
                <a:solidFill>
                  <a:srgbClr val="800080"/>
                </a:solidFill>
                <a:latin typeface="Georgia" panose="02040502050405020303" pitchFamily="18" charset="0"/>
              </a:rPr>
              <a:t> por region</a:t>
            </a:r>
          </a:p>
        </c:rich>
      </c:tx>
      <c:layout>
        <c:manualLayout>
          <c:xMode val="edge"/>
          <c:yMode val="edge"/>
          <c:x val="0.11719982895816848"/>
          <c:y val="3.462325465415756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800080"/>
              </a:solidFill>
              <a:latin typeface="Georgia" panose="02040502050405020303" pitchFamily="18" charset="0"/>
              <a:ea typeface="+mn-ea"/>
              <a:cs typeface="+mn-cs"/>
            </a:defRPr>
          </a:pPr>
          <a:endParaRPr lang="es-AR"/>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68674439278431"/>
          <c:y val="0.1524106629914912"/>
          <c:w val="0.77356926314462771"/>
          <c:h val="0.68819404687343511"/>
        </c:manualLayout>
      </c:layout>
      <c:barChart>
        <c:barDir val="bar"/>
        <c:grouping val="stacked"/>
        <c:varyColors val="0"/>
        <c:ser>
          <c:idx val="0"/>
          <c:order val="0"/>
          <c:tx>
            <c:strRef>
              <c:f>Motor_KPI!$C$25</c:f>
              <c:strCache>
                <c:ptCount val="1"/>
                <c:pt idx="0">
                  <c:v>Total</c:v>
                </c:pt>
              </c:strCache>
            </c:strRef>
          </c:tx>
          <c:spPr>
            <a:solidFill>
              <a:schemeClr val="accent5"/>
            </a:solidFill>
            <a:ln>
              <a:noFill/>
            </a:ln>
            <a:effectLst/>
          </c:spPr>
          <c:invertIfNegative val="0"/>
          <c:cat>
            <c:strRef>
              <c:f>Motor_KPI!$B$26:$B$31</c:f>
              <c:strCache>
                <c:ptCount val="5"/>
                <c:pt idx="0">
                  <c:v>Centro</c:v>
                </c:pt>
                <c:pt idx="1">
                  <c:v>Cuyo</c:v>
                </c:pt>
                <c:pt idx="2">
                  <c:v>Litoral</c:v>
                </c:pt>
                <c:pt idx="3">
                  <c:v>Norte</c:v>
                </c:pt>
                <c:pt idx="4">
                  <c:v>Sur</c:v>
                </c:pt>
              </c:strCache>
            </c:strRef>
          </c:cat>
          <c:val>
            <c:numRef>
              <c:f>Motor_KPI!$C$26:$C$31</c:f>
              <c:numCache>
                <c:formatCode>_-"$"\ * #,##0_-;\-"$"\ * #,##0_-;_-"$"\ * "-"??_-;_-@_-</c:formatCode>
                <c:ptCount val="5"/>
                <c:pt idx="0">
                  <c:v>98957644</c:v>
                </c:pt>
                <c:pt idx="1">
                  <c:v>133036233</c:v>
                </c:pt>
                <c:pt idx="2">
                  <c:v>81999073</c:v>
                </c:pt>
                <c:pt idx="3">
                  <c:v>71138698</c:v>
                </c:pt>
                <c:pt idx="4">
                  <c:v>121322567</c:v>
                </c:pt>
              </c:numCache>
            </c:numRef>
          </c:val>
          <c:extLst>
            <c:ext xmlns:c16="http://schemas.microsoft.com/office/drawing/2014/chart" uri="{C3380CC4-5D6E-409C-BE32-E72D297353CC}">
              <c16:uniqueId val="{00000000-4DBB-414F-864C-31B96312D4A0}"/>
            </c:ext>
          </c:extLst>
        </c:ser>
        <c:dLbls>
          <c:showLegendKey val="0"/>
          <c:showVal val="0"/>
          <c:showCatName val="0"/>
          <c:showSerName val="0"/>
          <c:showPercent val="0"/>
          <c:showBubbleSize val="0"/>
        </c:dLbls>
        <c:gapWidth val="150"/>
        <c:overlap val="100"/>
        <c:axId val="264123856"/>
        <c:axId val="273022608"/>
      </c:barChart>
      <c:catAx>
        <c:axId val="26412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73022608"/>
        <c:crosses val="autoZero"/>
        <c:auto val="1"/>
        <c:lblAlgn val="ctr"/>
        <c:lblOffset val="100"/>
        <c:noMultiLvlLbl val="0"/>
      </c:catAx>
      <c:valAx>
        <c:axId val="273022608"/>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 #,##0_-;\-&quot;$&quot;\ * #,##0_-;_-&quot;$&quot;\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6412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pivotSource>
    <c:name>[Entrega_Final_Dashboard_Calani_Viviana.xlsx]Motor_KPI!TablaDinámica8</c:name>
    <c:fmtId val="3"/>
  </c:pivotSource>
  <c:chart>
    <c:title>
      <c:tx>
        <c:rich>
          <a:bodyPr rot="0" spcFirstLastPara="1" vertOverflow="ellipsis" vert="horz" wrap="square" anchor="ctr" anchorCtr="1"/>
          <a:lstStyle/>
          <a:p>
            <a:pPr>
              <a:defRPr sz="1200" b="1" i="0" u="none" strike="noStrike" kern="1200" baseline="0">
                <a:solidFill>
                  <a:srgbClr val="800080"/>
                </a:solidFill>
                <a:latin typeface="Georgia" panose="02040502050405020303" pitchFamily="18" charset="0"/>
                <a:ea typeface="+mn-ea"/>
                <a:cs typeface="+mn-cs"/>
              </a:defRPr>
            </a:pPr>
            <a:r>
              <a:rPr lang="en-US" sz="1200">
                <a:solidFill>
                  <a:srgbClr val="800080"/>
                </a:solidFill>
                <a:latin typeface="Georgia" panose="02040502050405020303" pitchFamily="18" charset="0"/>
              </a:rPr>
              <a:t>Volumen</a:t>
            </a:r>
            <a:r>
              <a:rPr lang="en-US" sz="1200" baseline="0">
                <a:solidFill>
                  <a:srgbClr val="800080"/>
                </a:solidFill>
                <a:latin typeface="Georgia" panose="02040502050405020303" pitchFamily="18" charset="0"/>
              </a:rPr>
              <a:t> de venta por canal</a:t>
            </a:r>
            <a:endParaRPr lang="en-US" sz="1200">
              <a:solidFill>
                <a:srgbClr val="800080"/>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1200" b="1" i="0" u="none" strike="noStrike" kern="1200" baseline="0">
              <a:solidFill>
                <a:srgbClr val="800080"/>
              </a:solidFill>
              <a:latin typeface="Georgia" panose="02040502050405020303" pitchFamily="18"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Motor_KPI!$C$34</c:f>
              <c:strCache>
                <c:ptCount val="1"/>
                <c:pt idx="0">
                  <c:v>Total</c:v>
                </c:pt>
              </c:strCache>
            </c:strRef>
          </c:tx>
          <c:dPt>
            <c:idx val="0"/>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EA86-4759-9B41-34F2B45CF83E}"/>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EA86-4759-9B41-34F2B45CF83E}"/>
              </c:ext>
            </c:extLst>
          </c:dPt>
          <c:dPt>
            <c:idx val="2"/>
            <c:bubble3D val="0"/>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EA86-4759-9B41-34F2B45CF83E}"/>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Cambria" panose="02040503050406030204" pitchFamily="18" charset="0"/>
                    <a:ea typeface="Cambria" panose="02040503050406030204" pitchFamily="18" charset="0"/>
                    <a:cs typeface="+mn-cs"/>
                  </a:defRPr>
                </a:pPr>
                <a:endParaRPr lang="es-AR"/>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Motor_KPI!$B$35:$B$38</c:f>
              <c:strCache>
                <c:ptCount val="3"/>
                <c:pt idx="0">
                  <c:v>Mayorista</c:v>
                </c:pt>
                <c:pt idx="1">
                  <c:v>Minorista</c:v>
                </c:pt>
                <c:pt idx="2">
                  <c:v>Online</c:v>
                </c:pt>
              </c:strCache>
            </c:strRef>
          </c:cat>
          <c:val>
            <c:numRef>
              <c:f>Motor_KPI!$C$35:$C$38</c:f>
              <c:numCache>
                <c:formatCode>_-"$"\ * #,##0_-;\-"$"\ * #,##0_-;_-"$"\ * "-"??_-;_-@_-</c:formatCode>
                <c:ptCount val="3"/>
                <c:pt idx="0">
                  <c:v>397344175</c:v>
                </c:pt>
                <c:pt idx="1">
                  <c:v>519576644</c:v>
                </c:pt>
                <c:pt idx="2">
                  <c:v>459550753</c:v>
                </c:pt>
              </c:numCache>
            </c:numRef>
          </c:val>
          <c:extLst>
            <c:ext xmlns:c16="http://schemas.microsoft.com/office/drawing/2014/chart" uri="{C3380CC4-5D6E-409C-BE32-E72D297353CC}">
              <c16:uniqueId val="{00000006-EA86-4759-9B41-34F2B45CF83E}"/>
            </c:ext>
          </c:extLst>
        </c:ser>
        <c:dLbls>
          <c:showLegendKey val="0"/>
          <c:showVal val="0"/>
          <c:showCatName val="0"/>
          <c:showSerName val="0"/>
          <c:showPercent val="1"/>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18584</xdr:colOff>
      <xdr:row>10</xdr:row>
      <xdr:rowOff>192758</xdr:rowOff>
    </xdr:from>
    <xdr:to>
      <xdr:col>1</xdr:col>
      <xdr:colOff>1918061</xdr:colOff>
      <xdr:row>21</xdr:row>
      <xdr:rowOff>181870</xdr:rowOff>
    </xdr:to>
    <mc:AlternateContent xmlns:mc="http://schemas.openxmlformats.org/markup-compatibility/2006" xmlns:a14="http://schemas.microsoft.com/office/drawing/2010/main">
      <mc:Choice Requires="a14">
        <xdr:graphicFrame macro="">
          <xdr:nvGraphicFramePr>
            <xdr:cNvPr id="2" name="Fecha (mes)" descr="Enero&#10;Febrero">
              <a:extLst>
                <a:ext uri="{FF2B5EF4-FFF2-40B4-BE49-F238E27FC236}">
                  <a16:creationId xmlns:a16="http://schemas.microsoft.com/office/drawing/2014/main" id="{538763B1-9A4E-4072-924A-D907843AC438}"/>
                </a:ext>
                <a:ext uri="{C183D7F6-B498-43B3-948B-1728B52AA6E4}">
                  <adec:decorative xmlns:adec="http://schemas.microsoft.com/office/drawing/2017/decorative" val="0"/>
                </a:ext>
              </a:extLst>
            </xdr:cNvPr>
            <xdr:cNvGraphicFramePr/>
          </xdr:nvGraphicFramePr>
          <xdr:xfrm>
            <a:off x="0" y="0"/>
            <a:ext cx="0" cy="0"/>
          </xdr:xfrm>
          <a:graphic>
            <a:graphicData uri="http://schemas.microsoft.com/office/drawing/2010/slicer">
              <sle:slicer xmlns:sle="http://schemas.microsoft.com/office/drawing/2010/slicer" name="Fecha (mes)"/>
            </a:graphicData>
          </a:graphic>
        </xdr:graphicFrame>
      </mc:Choice>
      <mc:Fallback xmlns="">
        <xdr:sp macro="" textlink="">
          <xdr:nvSpPr>
            <xdr:cNvPr id="0" name=""/>
            <xdr:cNvSpPr>
              <a:spLocks noTextEdit="1"/>
            </xdr:cNvSpPr>
          </xdr:nvSpPr>
          <xdr:spPr>
            <a:xfrm>
              <a:off x="898825" y="2570724"/>
              <a:ext cx="1899477" cy="2156870"/>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1</xdr:col>
      <xdr:colOff>18584</xdr:colOff>
      <xdr:row>22</xdr:row>
      <xdr:rowOff>76199</xdr:rowOff>
    </xdr:from>
    <xdr:to>
      <xdr:col>1</xdr:col>
      <xdr:colOff>1908536</xdr:colOff>
      <xdr:row>32</xdr:row>
      <xdr:rowOff>823</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B83B6491-F622-4EF9-8DA3-85A0275293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0900" y="4033252"/>
              <a:ext cx="1889952" cy="1929887"/>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3</xdr:col>
      <xdr:colOff>118625</xdr:colOff>
      <xdr:row>11</xdr:row>
      <xdr:rowOff>13138</xdr:rowOff>
    </xdr:from>
    <xdr:to>
      <xdr:col>9</xdr:col>
      <xdr:colOff>379126</xdr:colOff>
      <xdr:row>24</xdr:row>
      <xdr:rowOff>184391</xdr:rowOff>
    </xdr:to>
    <xdr:graphicFrame macro="">
      <xdr:nvGraphicFramePr>
        <xdr:cNvPr id="5" name="Gráfico 4">
          <a:extLst>
            <a:ext uri="{FF2B5EF4-FFF2-40B4-BE49-F238E27FC236}">
              <a16:creationId xmlns:a16="http://schemas.microsoft.com/office/drawing/2014/main" id="{38C7E4CA-AB9C-464E-A273-A815055DD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137032</xdr:colOff>
      <xdr:row>26</xdr:row>
      <xdr:rowOff>10886</xdr:rowOff>
    </xdr:from>
    <xdr:to>
      <xdr:col>6</xdr:col>
      <xdr:colOff>785191</xdr:colOff>
      <xdr:row>38</xdr:row>
      <xdr:rowOff>155139</xdr:rowOff>
    </xdr:to>
    <xdr:graphicFrame macro="">
      <xdr:nvGraphicFramePr>
        <xdr:cNvPr id="6" name="Gráfico 5">
          <a:extLst>
            <a:ext uri="{FF2B5EF4-FFF2-40B4-BE49-F238E27FC236}">
              <a16:creationId xmlns:a16="http://schemas.microsoft.com/office/drawing/2014/main" id="{C960D480-3112-4576-AD20-B57686E0E1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15737</xdr:colOff>
      <xdr:row>26</xdr:row>
      <xdr:rowOff>9180</xdr:rowOff>
    </xdr:from>
    <xdr:to>
      <xdr:col>9</xdr:col>
      <xdr:colOff>380851</xdr:colOff>
      <xdr:row>38</xdr:row>
      <xdr:rowOff>153434</xdr:rowOff>
    </xdr:to>
    <xdr:graphicFrame macro="">
      <xdr:nvGraphicFramePr>
        <xdr:cNvPr id="7" name="Gráfico 6">
          <a:extLst>
            <a:ext uri="{FF2B5EF4-FFF2-40B4-BE49-F238E27FC236}">
              <a16:creationId xmlns:a16="http://schemas.microsoft.com/office/drawing/2014/main" id="{34FACBF7-CBDC-4F68-8CF4-43381473A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16447</xdr:colOff>
      <xdr:row>32</xdr:row>
      <xdr:rowOff>73661</xdr:rowOff>
    </xdr:from>
    <xdr:to>
      <xdr:col>1</xdr:col>
      <xdr:colOff>1899011</xdr:colOff>
      <xdr:row>38</xdr:row>
      <xdr:rowOff>157115</xdr:rowOff>
    </xdr:to>
    <mc:AlternateContent xmlns:mc="http://schemas.openxmlformats.org/markup-compatibility/2006" xmlns:a14="http://schemas.microsoft.com/office/drawing/2010/main">
      <mc:Choice Requires="a14">
        <xdr:graphicFrame macro="">
          <xdr:nvGraphicFramePr>
            <xdr:cNvPr id="8" name="Canal">
              <a:extLst>
                <a:ext uri="{FF2B5EF4-FFF2-40B4-BE49-F238E27FC236}">
                  <a16:creationId xmlns:a16="http://schemas.microsoft.com/office/drawing/2014/main" id="{A61AFCBF-C86F-9B22-F835-6A5D848E518B}"/>
                </a:ext>
              </a:extLst>
            </xdr:cNvPr>
            <xdr:cNvGraphicFramePr/>
          </xdr:nvGraphicFramePr>
          <xdr:xfrm>
            <a:off x="0" y="0"/>
            <a:ext cx="0" cy="0"/>
          </xdr:xfrm>
          <a:graphic>
            <a:graphicData uri="http://schemas.microsoft.com/office/drawing/2010/slicer">
              <sle:slicer xmlns:sle="http://schemas.microsoft.com/office/drawing/2010/slicer" name="Canal"/>
            </a:graphicData>
          </a:graphic>
        </xdr:graphicFrame>
      </mc:Choice>
      <mc:Fallback xmlns="">
        <xdr:sp macro="" textlink="">
          <xdr:nvSpPr>
            <xdr:cNvPr id="0" name=""/>
            <xdr:cNvSpPr>
              <a:spLocks noTextEdit="1"/>
            </xdr:cNvSpPr>
          </xdr:nvSpPr>
          <xdr:spPr>
            <a:xfrm>
              <a:off x="898763" y="6035977"/>
              <a:ext cx="1882564" cy="1286611"/>
            </a:xfrm>
            <a:prstGeom prst="rect">
              <a:avLst/>
            </a:prstGeom>
            <a:solidFill>
              <a:prstClr val="white"/>
            </a:solidFill>
            <a:ln w="1">
              <a:solidFill>
                <a:prstClr val="green"/>
              </a:solidFill>
            </a:ln>
          </xdr:spPr>
          <xdr:txBody>
            <a:bodyPr vertOverflow="clip" horzOverflow="clip"/>
            <a:lstStyle/>
            <a:p>
              <a:r>
                <a:rPr lang="es-AR"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xdr:col>
      <xdr:colOff>23089</xdr:colOff>
      <xdr:row>5</xdr:row>
      <xdr:rowOff>196271</xdr:rowOff>
    </xdr:from>
    <xdr:to>
      <xdr:col>9</xdr:col>
      <xdr:colOff>788276</xdr:colOff>
      <xdr:row>8</xdr:row>
      <xdr:rowOff>57726</xdr:rowOff>
    </xdr:to>
    <xdr:sp macro="" textlink="">
      <xdr:nvSpPr>
        <xdr:cNvPr id="3" name="CuadroTexto 2">
          <a:extLst>
            <a:ext uri="{FF2B5EF4-FFF2-40B4-BE49-F238E27FC236}">
              <a16:creationId xmlns:a16="http://schemas.microsoft.com/office/drawing/2014/main" id="{4355DCB6-1F09-2224-BE61-E2ABA5A91756}"/>
            </a:ext>
          </a:extLst>
        </xdr:cNvPr>
        <xdr:cNvSpPr txBox="1"/>
      </xdr:nvSpPr>
      <xdr:spPr>
        <a:xfrm>
          <a:off x="903330" y="1549478"/>
          <a:ext cx="11682808" cy="4526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s-AR" b="1">
              <a:latin typeface="Cambria" panose="02040503050406030204" pitchFamily="18" charset="0"/>
              <a:ea typeface="Cambria" panose="02040503050406030204" pitchFamily="18" charset="0"/>
            </a:rPr>
            <a:t>Nota de interpretación:</a:t>
          </a:r>
          <a:r>
            <a:rPr lang="es-AR">
              <a:latin typeface="Cambria" panose="02040503050406030204" pitchFamily="18" charset="0"/>
              <a:ea typeface="Cambria" panose="02040503050406030204" pitchFamily="18" charset="0"/>
            </a:rPr>
            <a:t> El margen y beneficio corresponden a los costos contemplados en el modelo. Estos indicadores deben analizarse junto con volumen, precios, costos, canal y región. </a:t>
          </a:r>
        </a:p>
        <a:p>
          <a:pPr marL="0" marR="0" lvl="0" indent="0" defTabSz="914400" eaLnBrk="1" fontAlgn="auto" latinLnBrk="0" hangingPunct="1">
            <a:lnSpc>
              <a:spcPct val="100000"/>
            </a:lnSpc>
            <a:spcBef>
              <a:spcPts val="0"/>
            </a:spcBef>
            <a:spcAft>
              <a:spcPts val="0"/>
            </a:spcAft>
            <a:buClrTx/>
            <a:buSzTx/>
            <a:buFontTx/>
            <a:buNone/>
            <a:tabLst/>
            <a:defRPr/>
          </a:pPr>
          <a:r>
            <a:rPr lang="es-AR">
              <a:latin typeface="Cambria" panose="02040503050406030204" pitchFamily="18" charset="0"/>
              <a:ea typeface="Cambria" panose="02040503050406030204" pitchFamily="18" charset="0"/>
            </a:rPr>
            <a:t>Un mayor nivel de ventas no implica necesariamente una mayor rentabilidad.</a:t>
          </a:r>
        </a:p>
        <a:p>
          <a:endParaRPr lang="es-AR" sz="1100">
            <a:latin typeface="Cambria" panose="02040503050406030204" pitchFamily="18" charset="0"/>
            <a:ea typeface="Cambria" panose="02040503050406030204"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a" refreshedDate="46280.536447106482" createdVersion="8" refreshedVersion="8" minRefreshableVersion="3" recordCount="0" supportSubquery="1" supportAdvancedDrill="1" xr:uid="{F5414B6A-E07D-4C22-BE35-12E3D0E4C15F}">
  <cacheSource type="external" connectionId="9"/>
  <cacheFields count="2">
    <cacheField name="[Measures].[Ventas Totales]" caption="Ventas Totales" numFmtId="0" hierarchy="27" level="32767"/>
    <cacheField name="[Fact_Transacciones].[Fecha (mes)].[Fecha (mes)]" caption="Fecha (mes)" numFmtId="0" hierarchy="25" level="1">
      <sharedItems count="12">
        <s v="ene"/>
        <s v="feb"/>
        <s v="mar"/>
        <s v="abr"/>
        <s v="may"/>
        <s v="jun"/>
        <s v="jul"/>
        <s v="ago"/>
        <s v="sept"/>
        <s v="oct"/>
        <s v="nov"/>
        <s v="dic"/>
      </sharedItems>
    </cacheField>
  </cacheFields>
  <cacheHierarchies count="41">
    <cacheHierarchy uniqueName="[Dim_Calendario].[Fecha]" caption="Fecha" attribute="1" time="1" defaultMemberUniqueName="[Dim_Calendario].[Fecha].[All]" allUniqueName="[Dim_Calendario].[Fecha].[All]" dimensionUniqueName="[Dim_Calendario]" displayFolder="" count="2" memberValueDatatype="7" unbalanced="0"/>
    <cacheHierarchy uniqueName="[Dim_Calendario].[Año]" caption="Año" attribute="1" defaultMemberUniqueName="[Dim_Calendario].[Año].[All]" allUniqueName="[Dim_Calendario].[Año].[All]" dimensionUniqueName="[Dim_Calendario]" displayFolder="" count="2" memberValueDatatype="20" unbalanced="0"/>
    <cacheHierarchy uniqueName="[Dim_Calendario].[NumeroMes]" caption="NumeroMes" attribute="1" defaultMemberUniqueName="[Dim_Calendario].[NumeroMes].[All]" allUniqueName="[Dim_Calendario].[NumeroMes].[All]" dimensionUniqueName="[Dim_Calendario]" displayFolder="" count="2" memberValueDatatype="20" unbalanced="0"/>
    <cacheHierarchy uniqueName="[Dim_Calendario].[NombreMes]" caption="NombreMes" attribute="1" defaultMemberUniqueName="[Dim_Calendario].[NombreMes].[All]" allUniqueName="[Dim_Calendario].[NombreMes].[All]" dimensionUniqueName="[Dim_Calendario]" displayFolder="" count="2" memberValueDatatype="130" unbalanced="0"/>
    <cacheHierarchy uniqueName="[Dim_Calendario].[Trimestre]" caption="Trimestre" attribute="1" defaultMemberUniqueName="[Dim_Calendario].[Trimestre].[All]" allUniqueName="[Dim_Calendario].[Trimestre].[All]" dimensionUniqueName="[Dim_Calendario]" displayFolder="" count="2" memberValueDatatype="130" unbalanced="0"/>
    <cacheHierarchy uniqueName="[Dim_Calendario].[Dia]" caption="Dia" attribute="1" defaultMemberUniqueName="[Dim_Calendario].[Dia].[All]" allUniqueName="[Dim_Calendario].[Dia].[All]" dimensionUniqueName="[Dim_Calendario]" displayFolder="" count="2" memberValueDatatype="20" unbalanced="0"/>
    <cacheHierarchy uniqueName="[Dim_Calendario].[NombreDia]" caption="NombreDia" attribute="1" defaultMemberUniqueName="[Dim_Calendario].[NombreDia].[All]" allUniqueName="[Dim_Calendario].[NombreDia].[All]" dimensionUniqueName="[Dim_Calendario]" displayFolder="" count="2" memberValueDatatype="130" unbalanced="0"/>
    <cacheHierarchy uniqueName="[Dim_Clientes].[ID_Cliente]" caption="ID_Cliente" attribute="1" defaultMemberUniqueName="[Dim_Clientes].[ID_Cliente].[All]" allUniqueName="[Dim_Clientes].[ID_Cliente].[All]" dimensionUniqueName="[Dim_Clientes]" displayFolder="" count="2" memberValueDatatype="130" unbalanced="0"/>
    <cacheHierarchy uniqueName="[Dim_Productos].[ID_Producto]" caption="ID_Producto" attribute="1" defaultMemberUniqueName="[Dim_Productos].[ID_Producto].[All]" allUniqueName="[Dim_Productos].[ID_Producto].[All]" dimensionUniqueName="[Dim_Productos]" displayFolder="" count="2" memberValueDatatype="130" unbalanced="0"/>
    <cacheHierarchy uniqueName="[Fact_Transacciones].[ID_Transaccion]" caption="ID_Transaccion" attribute="1" defaultMemberUniqueName="[Fact_Transacciones].[ID_Transaccion].[All]" allUniqueName="[Fact_Transacciones].[ID_Transaccion].[All]" dimensionUniqueName="[Fact_Transacciones]" displayFolder="" count="2" memberValueDatatype="130" unbalanced="0"/>
    <cacheHierarchy uniqueName="[Fact_Transacciones].[Fecha]" caption="Fecha" attribute="1" time="1" defaultMemberUniqueName="[Fact_Transacciones].[Fecha].[All]" allUniqueName="[Fact_Transacciones].[Fecha].[All]" dimensionUniqueName="[Fact_Transacciones]" displayFolder="" count="2" memberValueDatatype="7" unbalanced="0"/>
    <cacheHierarchy uniqueName="[Fact_Transacciones].[ID_Cliente]" caption="ID_Cliente" attribute="1" defaultMemberUniqueName="[Fact_Transacciones].[ID_Cliente].[All]" allUniqueName="[Fact_Transacciones].[ID_Cliente].[All]" dimensionUniqueName="[Fact_Transacciones]" displayFolder="" count="2" memberValueDatatype="130" unbalanced="0"/>
    <cacheHierarchy uniqueName="[Fact_Transacciones].[ID_Producto]" caption="ID_Producto" attribute="1" defaultMemberUniqueName="[Fact_Transacciones].[ID_Producto].[All]" allUniqueName="[Fact_Transacciones].[ID_Producto].[All]" dimensionUniqueName="[Fact_Transacciones]" displayFolder="" count="2" memberValueDatatype="130" unbalanced="0"/>
    <cacheHierarchy uniqueName="[Fact_Transacciones].[Cantidad]" caption="Cantidad" attribute="1" defaultMemberUniqueName="[Fact_Transacciones].[Cantidad].[All]" allUniqueName="[Fact_Transacciones].[Cantidad].[All]" dimensionUniqueName="[Fact_Transacciones]" displayFolder="" count="2" memberValueDatatype="20" unbalanced="0"/>
    <cacheHierarchy uniqueName="[Fact_Transacciones].[Precio_Unitario]" caption="Precio_Unitario" attribute="1" defaultMemberUniqueName="[Fact_Transacciones].[Precio_Unitario].[All]" allUniqueName="[Fact_Transacciones].[Precio_Unitario].[All]" dimensionUniqueName="[Fact_Transacciones]" displayFolder="" count="2" memberValueDatatype="5" unbalanced="0"/>
    <cacheHierarchy uniqueName="[Fact_Transacciones].[Costo_Unitario]" caption="Costo_Unitario" attribute="1" defaultMemberUniqueName="[Fact_Transacciones].[Costo_Unitario].[All]" allUniqueName="[Fact_Transacciones].[Costo_Unitario].[All]" dimensionUniqueName="[Fact_Transacciones]" displayFolder="" count="2" memberValueDatatype="5" unbalanced="0"/>
    <cacheHierarchy uniqueName="[Fact_Transacciones].[Canal]" caption="Canal" attribute="1" defaultMemberUniqueName="[Fact_Transacciones].[Canal].[All]" allUniqueName="[Fact_Transacciones].[Canal].[All]" dimensionUniqueName="[Fact_Transacciones]" displayFolder="" count="2" memberValueDatatype="130" unbalanced="0"/>
    <cacheHierarchy uniqueName="[Fact_Transacciones].[Region]" caption="Region" attribute="1" defaultMemberUniqueName="[Fact_Transacciones].[Region].[All]" allUniqueName="[Fact_Transacciones].[Region].[All]" dimensionUniqueName="[Fact_Transacciones]" displayFolder="" count="2" memberValueDatatype="130" unbalanced="0"/>
    <cacheHierarchy uniqueName="[Fact_Transacciones].[Costo_Envio]" caption="Costo_Envio" attribute="1" defaultMemberUniqueName="[Fact_Transacciones].[Costo_Envio].[All]" allUniqueName="[Fact_Transacciones].[Costo_Envio].[All]" dimensionUniqueName="[Fact_Transacciones]" displayFolder="" count="2" memberValueDatatype="5" unbalanced="0"/>
    <cacheHierarchy uniqueName="[Fact_Transacciones].[Tasa_Interes]" caption="Tasa_Interes" attribute="1" defaultMemberUniqueName="[Fact_Transacciones].[Tasa_Interes].[All]" allUniqueName="[Fact_Transacciones].[Tasa_Interes].[All]" dimensionUniqueName="[Fact_Transacciones]" displayFolder="" count="2" memberValueDatatype="5" unbalanced="0"/>
    <cacheHierarchy uniqueName="[Fact_Transacciones].[Estado]" caption="Estado" attribute="1" defaultMemberUniqueName="[Fact_Transacciones].[Estado].[All]" allUniqueName="[Fact_Transacciones].[Estado].[All]" dimensionUniqueName="[Fact_Transacciones]" displayFolder="" count="2" memberValueDatatype="130" unbalanced="0"/>
    <cacheHierarchy uniqueName="[Fact_Transacciones].[Ventas_Totales]" caption="Ventas_Totales" attribute="1" defaultMemberUniqueName="[Fact_Transacciones].[Ventas_Totales].[All]" allUniqueName="[Fact_Transacciones].[Ventas_Totales].[All]" dimensionUniqueName="[Fact_Transacciones]" displayFolder="" count="2" memberValueDatatype="5" unbalanced="0"/>
    <cacheHierarchy uniqueName="[Fact_Transacciones].[Costo_Productos]" caption="Costo_Productos" attribute="1" defaultMemberUniqueName="[Fact_Transacciones].[Costo_Productos].[All]" allUniqueName="[Fact_Transacciones].[Costo_Productos].[All]" dimensionUniqueName="[Fact_Transacciones]" displayFolder="" count="2" memberValueDatatype="5" unbalanced="0"/>
    <cacheHierarchy uniqueName="[Fact_Transacciones].[Beneficio]" caption="Beneficio" attribute="1" defaultMemberUniqueName="[Fact_Transacciones].[Beneficio].[All]" allUniqueName="[Fact_Transacciones].[Beneficio].[All]" dimensionUniqueName="[Fact_Transacciones]" displayFolder="" count="2" memberValueDatatype="5" unbalanced="0"/>
    <cacheHierarchy uniqueName="[Fact_Transacciones].[Margen]" caption="Margen" attribute="1" defaultMemberUniqueName="[Fact_Transacciones].[Margen].[All]" allUniqueName="[Fact_Transacciones].[Margen].[All]" dimensionUniqueName="[Fact_Transacciones]" displayFolder="" count="2" memberValueDatatype="5" unbalanced="0"/>
    <cacheHierarchy uniqueName="[Fact_Transacciones].[Fecha (mes)]" caption="Fecha (mes)" attribute="1" defaultMemberUniqueName="[Fact_Transacciones].[Fecha (mes)].[All]" allUniqueName="[Fact_Transacciones].[Fecha (mes)].[All]" dimensionUniqueName="[Fact_Transacciones]" displayFolder="" count="2" memberValueDatatype="130" unbalanced="0">
      <fieldsUsage count="2">
        <fieldUsage x="-1"/>
        <fieldUsage x="1"/>
      </fieldsUsage>
    </cacheHierarchy>
    <cacheHierarchy uniqueName="[Fact_Transacciones].[Fecha (índice de meses)]" caption="Fecha (índice de meses)" attribute="1" defaultMemberUniqueName="[Fact_Transacciones].[Fecha (índice de meses)].[All]" allUniqueName="[Fact_Transacciones].[Fecha (índice de meses)].[All]" dimensionUniqueName="[Fact_Transacciones]" displayFolder="" count="2" memberValueDatatype="20" unbalanced="0" hidden="1"/>
    <cacheHierarchy uniqueName="[Measures].[Ventas Totales]" caption="Ventas Totales" measure="1" displayFolder="" measureGroup="Fact_Transacciones" count="0" oneField="1">
      <fieldsUsage count="1">
        <fieldUsage x="0"/>
      </fieldsUsage>
    </cacheHierarchy>
    <cacheHierarchy uniqueName="[Measures].[Costos Totales]" caption="Costos Totales" measure="1" displayFolder="" measureGroup="Fact_Transacciones" count="0"/>
    <cacheHierarchy uniqueName="[Measures].[Beneficio Total]" caption="Beneficio Total" measure="1" displayFolder="" measureGroup="Fact_Transacciones" count="0"/>
    <cacheHierarchy uniqueName="[Measures].[Unidades Vendidas]" caption="Unidades Vendidas" measure="1" displayFolder="" measureGroup="Fact_Transacciones" count="0"/>
    <cacheHierarchy uniqueName="[Measures].[Margen %]" caption="Margen %" measure="1" displayFolder="" measureGroup="Fact_Transacciones" count="0"/>
    <cacheHierarchy uniqueName="[Measures].[Margen Optimizado]" caption="Margen Optimizado" measure="1" displayFolder="" measureGroup="Fact_Transaccione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Fact_Transacciones]" caption="__XL_Count Fact_Transacciones" measure="1" displayFolder="" measureGroup="Fact_Transacciones" count="0" hidden="1"/>
    <cacheHierarchy uniqueName="[Measures].[__No measures defined]" caption="__No measures defined" measure="1" displayFolder="" count="0" hidden="1"/>
    <cacheHierarchy uniqueName="[Measures].[Suma de Ventas_Totales]" caption="Suma de Ventas_Totales" measure="1" displayFolder="" measureGroup="Fact_Transacciones" count="0" hidden="1">
      <extLst>
        <ext xmlns:x15="http://schemas.microsoft.com/office/spreadsheetml/2010/11/main" uri="{B97F6D7D-B522-45F9-BDA1-12C45D357490}">
          <x15:cacheHierarchy aggregatedColumn="21"/>
        </ext>
      </extLst>
    </cacheHierarchy>
    <cacheHierarchy uniqueName="[Measures].[Suma de Beneficio]" caption="Suma de Beneficio" measure="1" displayFolder="" measureGroup="Fact_Transacciones" count="0" hidden="1">
      <extLst>
        <ext xmlns:x15="http://schemas.microsoft.com/office/spreadsheetml/2010/11/main" uri="{B97F6D7D-B522-45F9-BDA1-12C45D357490}">
          <x15:cacheHierarchy aggregatedColumn="23"/>
        </ext>
      </extLst>
    </cacheHierarchy>
    <cacheHierarchy uniqueName="[Measures].[Suma de Costo_Productos]" caption="Suma de Costo_Productos" measure="1" displayFolder="" measureGroup="Fact_Transacciones" count="0" hidden="1">
      <extLst>
        <ext xmlns:x15="http://schemas.microsoft.com/office/spreadsheetml/2010/11/main" uri="{B97F6D7D-B522-45F9-BDA1-12C45D357490}">
          <x15:cacheHierarchy aggregatedColumn="22"/>
        </ext>
      </extLst>
    </cacheHierarchy>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Transacciones" uniqueName="[Fact_Transacciones]" caption="Fact_Transacciones"/>
    <dimension measure="1" name="Measures" uniqueName="[Measures]" caption="Measures"/>
  </dimensions>
  <measureGroups count="4">
    <measureGroup name="Dim_Calendario" caption="Dim_Calendario"/>
    <measureGroup name="Dim_Clientes" caption="Dim_Clientes"/>
    <measureGroup name="Dim_Productos" caption="Dim_Productos"/>
    <measureGroup name="Fact_Transacciones" caption="Fact_Transaccion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a" refreshedDate="46280.536447685183" createdVersion="8" refreshedVersion="8" minRefreshableVersion="3" recordCount="0" supportSubquery="1" supportAdvancedDrill="1" xr:uid="{87E7C3F5-D208-4FEC-890A-5F525EC5CE32}">
  <cacheSource type="external" connectionId="9"/>
  <cacheFields count="2">
    <cacheField name="[Measures].[Ventas Totales]" caption="Ventas Totales" numFmtId="0" hierarchy="27" level="32767"/>
    <cacheField name="[Fact_Transacciones].[Fecha (mes)].[Fecha (mes)]" caption="Fecha (mes)" numFmtId="0" hierarchy="25" level="1">
      <sharedItems containsSemiMixedTypes="0" containsNonDate="0" containsString="0"/>
    </cacheField>
  </cacheFields>
  <cacheHierarchies count="41">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Mes]" caption="NumeroMes" attribute="1" defaultMemberUniqueName="[Dim_Calendario].[NumeroMes].[All]" allUniqueName="[Dim_Calendario].[NumeroMes].[All]" dimensionUniqueName="[Dim_Calendario]" displayFolder="" count="0" memberValueDatatype="20" unbalanced="0"/>
    <cacheHierarchy uniqueName="[Dim_Calendario].[NombreMes]" caption="NombreMes" attribute="1" defaultMemberUniqueName="[Dim_Calendario].[NombreMes].[All]" allUniqueName="[Dim_Calendario].[Nombre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0" memberValueDatatype="130" unbalanced="0"/>
    <cacheHierarchy uniqueName="[Dim_Calendario].[Dia]" caption="Dia" attribute="1" defaultMemberUniqueName="[Dim_Calendario].[Dia].[All]" allUniqueName="[Dim_Calendario].[Dia].[All]" dimensionUniqueName="[Dim_Calendario]" displayFolder="" count="0" memberValueDatatype="20" unbalanced="0"/>
    <cacheHierarchy uniqueName="[Dim_Calendario].[NombreDia]" caption="NombreDia" attribute="1" defaultMemberUniqueName="[Dim_Calendario].[NombreDia].[All]" allUniqueName="[Dim_Calendario].[NombreDia].[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Productos].[ID_Producto]" caption="ID_Producto" attribute="1" defaultMemberUniqueName="[Dim_Productos].[ID_Producto].[All]" allUniqueName="[Dim_Productos].[ID_Producto].[All]" dimensionUniqueName="[Dim_Productos]" displayFolder="" count="0" memberValueDatatype="130" unbalanced="0"/>
    <cacheHierarchy uniqueName="[Fact_Transacciones].[ID_Transaccion]" caption="ID_Transaccion" attribute="1" defaultMemberUniqueName="[Fact_Transacciones].[ID_Transaccion].[All]" allUniqueName="[Fact_Transacciones].[ID_Transaccion].[All]" dimensionUniqueName="[Fact_Transacciones]" displayFolder="" count="0" memberValueDatatype="130" unbalanced="0"/>
    <cacheHierarchy uniqueName="[Fact_Transacciones].[Fecha]" caption="Fecha" attribute="1" time="1" defaultMemberUniqueName="[Fact_Transacciones].[Fecha].[All]" allUniqueName="[Fact_Transacciones].[Fecha].[All]" dimensionUniqueName="[Fact_Transacciones]" displayFolder="" count="0" memberValueDatatype="7" unbalanced="0"/>
    <cacheHierarchy uniqueName="[Fact_Transacciones].[ID_Cliente]" caption="ID_Cliente" attribute="1" defaultMemberUniqueName="[Fact_Transacciones].[ID_Cliente].[All]" allUniqueName="[Fact_Transacciones].[ID_Cliente].[All]" dimensionUniqueName="[Fact_Transacciones]" displayFolder="" count="0" memberValueDatatype="130" unbalanced="0"/>
    <cacheHierarchy uniqueName="[Fact_Transacciones].[ID_Producto]" caption="ID_Producto" attribute="1" defaultMemberUniqueName="[Fact_Transacciones].[ID_Producto].[All]" allUniqueName="[Fact_Transacciones].[ID_Producto].[All]" dimensionUniqueName="[Fact_Transacciones]" displayFolder="" count="0" memberValueDatatype="130" unbalanced="0"/>
    <cacheHierarchy uniqueName="[Fact_Transacciones].[Cantidad]" caption="Cantidad" attribute="1" defaultMemberUniqueName="[Fact_Transacciones].[Cantidad].[All]" allUniqueName="[Fact_Transacciones].[Cantidad].[All]" dimensionUniqueName="[Fact_Transacciones]" displayFolder="" count="0" memberValueDatatype="20" unbalanced="0"/>
    <cacheHierarchy uniqueName="[Fact_Transacciones].[Precio_Unitario]" caption="Precio_Unitario" attribute="1" defaultMemberUniqueName="[Fact_Transacciones].[Precio_Unitario].[All]" allUniqueName="[Fact_Transacciones].[Precio_Unitario].[All]" dimensionUniqueName="[Fact_Transacciones]" displayFolder="" count="0" memberValueDatatype="5" unbalanced="0"/>
    <cacheHierarchy uniqueName="[Fact_Transacciones].[Costo_Unitario]" caption="Costo_Unitario" attribute="1" defaultMemberUniqueName="[Fact_Transacciones].[Costo_Unitario].[All]" allUniqueName="[Fact_Transacciones].[Costo_Unitario].[All]" dimensionUniqueName="[Fact_Transacciones]" displayFolder="" count="0" memberValueDatatype="5" unbalanced="0"/>
    <cacheHierarchy uniqueName="[Fact_Transacciones].[Canal]" caption="Canal" attribute="1" defaultMemberUniqueName="[Fact_Transacciones].[Canal].[All]" allUniqueName="[Fact_Transacciones].[Canal].[All]" dimensionUniqueName="[Fact_Transacciones]" displayFolder="" count="2" memberValueDatatype="130" unbalanced="0"/>
    <cacheHierarchy uniqueName="[Fact_Transacciones].[Region]" caption="Region" attribute="1" defaultMemberUniqueName="[Fact_Transacciones].[Region].[All]" allUniqueName="[Fact_Transacciones].[Region].[All]" dimensionUniqueName="[Fact_Transacciones]" displayFolder="" count="2" memberValueDatatype="130" unbalanced="0"/>
    <cacheHierarchy uniqueName="[Fact_Transacciones].[Costo_Envio]" caption="Costo_Envio" attribute="1" defaultMemberUniqueName="[Fact_Transacciones].[Costo_Envio].[All]" allUniqueName="[Fact_Transacciones].[Costo_Envio].[All]" dimensionUniqueName="[Fact_Transacciones]" displayFolder="" count="0" memberValueDatatype="5" unbalanced="0"/>
    <cacheHierarchy uniqueName="[Fact_Transacciones].[Tasa_Interes]" caption="Tasa_Interes" attribute="1" defaultMemberUniqueName="[Fact_Transacciones].[Tasa_Interes].[All]" allUniqueName="[Fact_Transacciones].[Tasa_Interes].[All]" dimensionUniqueName="[Fact_Transacciones]" displayFolder="" count="0" memberValueDatatype="5" unbalanced="0"/>
    <cacheHierarchy uniqueName="[Fact_Transacciones].[Estado]" caption="Estado" attribute="1" defaultMemberUniqueName="[Fact_Transacciones].[Estado].[All]" allUniqueName="[Fact_Transacciones].[Estado].[All]" dimensionUniqueName="[Fact_Transacciones]" displayFolder="" count="0" memberValueDatatype="130" unbalanced="0"/>
    <cacheHierarchy uniqueName="[Fact_Transacciones].[Ventas_Totales]" caption="Ventas_Totales" attribute="1" defaultMemberUniqueName="[Fact_Transacciones].[Ventas_Totales].[All]" allUniqueName="[Fact_Transacciones].[Ventas_Totales].[All]" dimensionUniqueName="[Fact_Transacciones]" displayFolder="" count="0" memberValueDatatype="5" unbalanced="0"/>
    <cacheHierarchy uniqueName="[Fact_Transacciones].[Costo_Productos]" caption="Costo_Productos" attribute="1" defaultMemberUniqueName="[Fact_Transacciones].[Costo_Productos].[All]" allUniqueName="[Fact_Transacciones].[Costo_Productos].[All]" dimensionUniqueName="[Fact_Transacciones]" displayFolder="" count="0" memberValueDatatype="5" unbalanced="0"/>
    <cacheHierarchy uniqueName="[Fact_Transacciones].[Beneficio]" caption="Beneficio" attribute="1" defaultMemberUniqueName="[Fact_Transacciones].[Beneficio].[All]" allUniqueName="[Fact_Transacciones].[Beneficio].[All]" dimensionUniqueName="[Fact_Transacciones]" displayFolder="" count="0" memberValueDatatype="5" unbalanced="0"/>
    <cacheHierarchy uniqueName="[Fact_Transacciones].[Margen]" caption="Margen" attribute="1" defaultMemberUniqueName="[Fact_Transacciones].[Margen].[All]" allUniqueName="[Fact_Transacciones].[Margen].[All]" dimensionUniqueName="[Fact_Transacciones]" displayFolder="" count="0" memberValueDatatype="5" unbalanced="0"/>
    <cacheHierarchy uniqueName="[Fact_Transacciones].[Fecha (mes)]" caption="Fecha (mes)" attribute="1" defaultMemberUniqueName="[Fact_Transacciones].[Fecha (mes)].[All]" allUniqueName="[Fact_Transacciones].[Fecha (mes)].[All]" dimensionUniqueName="[Fact_Transacciones]" displayFolder="" count="2" memberValueDatatype="130" unbalanced="0">
      <fieldsUsage count="2">
        <fieldUsage x="-1"/>
        <fieldUsage x="1"/>
      </fieldsUsage>
    </cacheHierarchy>
    <cacheHierarchy uniqueName="[Fact_Transacciones].[Fecha (índice de meses)]" caption="Fecha (índice de meses)" attribute="1" defaultMemberUniqueName="[Fact_Transacciones].[Fecha (índice de meses)].[All]" allUniqueName="[Fact_Transacciones].[Fecha (índice de meses)].[All]" dimensionUniqueName="[Fact_Transacciones]" displayFolder="" count="0" memberValueDatatype="20" unbalanced="0" hidden="1"/>
    <cacheHierarchy uniqueName="[Measures].[Ventas Totales]" caption="Ventas Totales" measure="1" displayFolder="" measureGroup="Fact_Transacciones" count="0" oneField="1">
      <fieldsUsage count="1">
        <fieldUsage x="0"/>
      </fieldsUsage>
    </cacheHierarchy>
    <cacheHierarchy uniqueName="[Measures].[Costos Totales]" caption="Costos Totales" measure="1" displayFolder="" measureGroup="Fact_Transacciones" count="0"/>
    <cacheHierarchy uniqueName="[Measures].[Beneficio Total]" caption="Beneficio Total" measure="1" displayFolder="" measureGroup="Fact_Transacciones" count="0"/>
    <cacheHierarchy uniqueName="[Measures].[Unidades Vendidas]" caption="Unidades Vendidas" measure="1" displayFolder="" measureGroup="Fact_Transacciones" count="0"/>
    <cacheHierarchy uniqueName="[Measures].[Margen %]" caption="Margen %" measure="1" displayFolder="" measureGroup="Fact_Transacciones" count="0"/>
    <cacheHierarchy uniqueName="[Measures].[Margen Optimizado]" caption="Margen Optimizado" measure="1" displayFolder="" measureGroup="Fact_Transaccione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Fact_Transacciones]" caption="__XL_Count Fact_Transacciones" measure="1" displayFolder="" measureGroup="Fact_Transacciones" count="0" hidden="1"/>
    <cacheHierarchy uniqueName="[Measures].[__No measures defined]" caption="__No measures defined" measure="1" displayFolder="" count="0" hidden="1"/>
    <cacheHierarchy uniqueName="[Measures].[Suma de Ventas_Totales]" caption="Suma de Ventas_Totales" measure="1" displayFolder="" measureGroup="Fact_Transacciones" count="0" hidden="1">
      <extLst>
        <ext xmlns:x15="http://schemas.microsoft.com/office/spreadsheetml/2010/11/main" uri="{B97F6D7D-B522-45F9-BDA1-12C45D357490}">
          <x15:cacheHierarchy aggregatedColumn="21"/>
        </ext>
      </extLst>
    </cacheHierarchy>
    <cacheHierarchy uniqueName="[Measures].[Suma de Beneficio]" caption="Suma de Beneficio" measure="1" displayFolder="" measureGroup="Fact_Transacciones" count="0" hidden="1">
      <extLst>
        <ext xmlns:x15="http://schemas.microsoft.com/office/spreadsheetml/2010/11/main" uri="{B97F6D7D-B522-45F9-BDA1-12C45D357490}">
          <x15:cacheHierarchy aggregatedColumn="23"/>
        </ext>
      </extLst>
    </cacheHierarchy>
    <cacheHierarchy uniqueName="[Measures].[Suma de Costo_Productos]" caption="Suma de Costo_Productos" measure="1" displayFolder="" measureGroup="Fact_Transacciones" count="0" hidden="1">
      <extLst>
        <ext xmlns:x15="http://schemas.microsoft.com/office/spreadsheetml/2010/11/main" uri="{B97F6D7D-B522-45F9-BDA1-12C45D357490}">
          <x15:cacheHierarchy aggregatedColumn="22"/>
        </ext>
      </extLst>
    </cacheHierarchy>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Transacciones" uniqueName="[Fact_Transacciones]" caption="Fact_Transacciones"/>
    <dimension measure="1" name="Measures" uniqueName="[Measures]" caption="Measures"/>
  </dimensions>
  <measureGroups count="4">
    <measureGroup name="Dim_Calendario" caption="Dim_Calendario"/>
    <measureGroup name="Dim_Clientes" caption="Dim_Clientes"/>
    <measureGroup name="Dim_Productos" caption="Dim_Productos"/>
    <measureGroup name="Fact_Transacciones" caption="Fact_Transaccion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a" refreshedDate="46280.536448032406" createdVersion="8" refreshedVersion="8" minRefreshableVersion="3" recordCount="0" supportSubquery="1" supportAdvancedDrill="1" xr:uid="{22E945C5-5DBD-4FC1-9A59-0A9EA641F16F}">
  <cacheSource type="external" connectionId="9"/>
  <cacheFields count="2">
    <cacheField name="[Measures].[Beneficio Total]" caption="Beneficio Total" numFmtId="0" hierarchy="29" level="32767"/>
    <cacheField name="[Fact_Transacciones].[Fecha (mes)].[Fecha (mes)]" caption="Fecha (mes)" numFmtId="0" hierarchy="25" level="1">
      <sharedItems containsSemiMixedTypes="0" containsNonDate="0" containsString="0"/>
    </cacheField>
  </cacheFields>
  <cacheHierarchies count="41">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Mes]" caption="NumeroMes" attribute="1" defaultMemberUniqueName="[Dim_Calendario].[NumeroMes].[All]" allUniqueName="[Dim_Calendario].[NumeroMes].[All]" dimensionUniqueName="[Dim_Calendario]" displayFolder="" count="0" memberValueDatatype="20" unbalanced="0"/>
    <cacheHierarchy uniqueName="[Dim_Calendario].[NombreMes]" caption="NombreMes" attribute="1" defaultMemberUniqueName="[Dim_Calendario].[NombreMes].[All]" allUniqueName="[Dim_Calendario].[Nombre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0" memberValueDatatype="130" unbalanced="0"/>
    <cacheHierarchy uniqueName="[Dim_Calendario].[Dia]" caption="Dia" attribute="1" defaultMemberUniqueName="[Dim_Calendario].[Dia].[All]" allUniqueName="[Dim_Calendario].[Dia].[All]" dimensionUniqueName="[Dim_Calendario]" displayFolder="" count="0" memberValueDatatype="20" unbalanced="0"/>
    <cacheHierarchy uniqueName="[Dim_Calendario].[NombreDia]" caption="NombreDia" attribute="1" defaultMemberUniqueName="[Dim_Calendario].[NombreDia].[All]" allUniqueName="[Dim_Calendario].[NombreDia].[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Productos].[ID_Producto]" caption="ID_Producto" attribute="1" defaultMemberUniqueName="[Dim_Productos].[ID_Producto].[All]" allUniqueName="[Dim_Productos].[ID_Producto].[All]" dimensionUniqueName="[Dim_Productos]" displayFolder="" count="0" memberValueDatatype="130" unbalanced="0"/>
    <cacheHierarchy uniqueName="[Fact_Transacciones].[ID_Transaccion]" caption="ID_Transaccion" attribute="1" defaultMemberUniqueName="[Fact_Transacciones].[ID_Transaccion].[All]" allUniqueName="[Fact_Transacciones].[ID_Transaccion].[All]" dimensionUniqueName="[Fact_Transacciones]" displayFolder="" count="0" memberValueDatatype="130" unbalanced="0"/>
    <cacheHierarchy uniqueName="[Fact_Transacciones].[Fecha]" caption="Fecha" attribute="1" time="1" defaultMemberUniqueName="[Fact_Transacciones].[Fecha].[All]" allUniqueName="[Fact_Transacciones].[Fecha].[All]" dimensionUniqueName="[Fact_Transacciones]" displayFolder="" count="0" memberValueDatatype="7" unbalanced="0"/>
    <cacheHierarchy uniqueName="[Fact_Transacciones].[ID_Cliente]" caption="ID_Cliente" attribute="1" defaultMemberUniqueName="[Fact_Transacciones].[ID_Cliente].[All]" allUniqueName="[Fact_Transacciones].[ID_Cliente].[All]" dimensionUniqueName="[Fact_Transacciones]" displayFolder="" count="0" memberValueDatatype="130" unbalanced="0"/>
    <cacheHierarchy uniqueName="[Fact_Transacciones].[ID_Producto]" caption="ID_Producto" attribute="1" defaultMemberUniqueName="[Fact_Transacciones].[ID_Producto].[All]" allUniqueName="[Fact_Transacciones].[ID_Producto].[All]" dimensionUniqueName="[Fact_Transacciones]" displayFolder="" count="0" memberValueDatatype="130" unbalanced="0"/>
    <cacheHierarchy uniqueName="[Fact_Transacciones].[Cantidad]" caption="Cantidad" attribute="1" defaultMemberUniqueName="[Fact_Transacciones].[Cantidad].[All]" allUniqueName="[Fact_Transacciones].[Cantidad].[All]" dimensionUniqueName="[Fact_Transacciones]" displayFolder="" count="0" memberValueDatatype="20" unbalanced="0"/>
    <cacheHierarchy uniqueName="[Fact_Transacciones].[Precio_Unitario]" caption="Precio_Unitario" attribute="1" defaultMemberUniqueName="[Fact_Transacciones].[Precio_Unitario].[All]" allUniqueName="[Fact_Transacciones].[Precio_Unitario].[All]" dimensionUniqueName="[Fact_Transacciones]" displayFolder="" count="0" memberValueDatatype="5" unbalanced="0"/>
    <cacheHierarchy uniqueName="[Fact_Transacciones].[Costo_Unitario]" caption="Costo_Unitario" attribute="1" defaultMemberUniqueName="[Fact_Transacciones].[Costo_Unitario].[All]" allUniqueName="[Fact_Transacciones].[Costo_Unitario].[All]" dimensionUniqueName="[Fact_Transacciones]" displayFolder="" count="0" memberValueDatatype="5" unbalanced="0"/>
    <cacheHierarchy uniqueName="[Fact_Transacciones].[Canal]" caption="Canal" attribute="1" defaultMemberUniqueName="[Fact_Transacciones].[Canal].[All]" allUniqueName="[Fact_Transacciones].[Canal].[All]" dimensionUniqueName="[Fact_Transacciones]" displayFolder="" count="2" memberValueDatatype="130" unbalanced="0"/>
    <cacheHierarchy uniqueName="[Fact_Transacciones].[Region]" caption="Region" attribute="1" defaultMemberUniqueName="[Fact_Transacciones].[Region].[All]" allUniqueName="[Fact_Transacciones].[Region].[All]" dimensionUniqueName="[Fact_Transacciones]" displayFolder="" count="2" memberValueDatatype="130" unbalanced="0"/>
    <cacheHierarchy uniqueName="[Fact_Transacciones].[Costo_Envio]" caption="Costo_Envio" attribute="1" defaultMemberUniqueName="[Fact_Transacciones].[Costo_Envio].[All]" allUniqueName="[Fact_Transacciones].[Costo_Envio].[All]" dimensionUniqueName="[Fact_Transacciones]" displayFolder="" count="0" memberValueDatatype="5" unbalanced="0"/>
    <cacheHierarchy uniqueName="[Fact_Transacciones].[Tasa_Interes]" caption="Tasa_Interes" attribute="1" defaultMemberUniqueName="[Fact_Transacciones].[Tasa_Interes].[All]" allUniqueName="[Fact_Transacciones].[Tasa_Interes].[All]" dimensionUniqueName="[Fact_Transacciones]" displayFolder="" count="0" memberValueDatatype="5" unbalanced="0"/>
    <cacheHierarchy uniqueName="[Fact_Transacciones].[Estado]" caption="Estado" attribute="1" defaultMemberUniqueName="[Fact_Transacciones].[Estado].[All]" allUniqueName="[Fact_Transacciones].[Estado].[All]" dimensionUniqueName="[Fact_Transacciones]" displayFolder="" count="0" memberValueDatatype="130" unbalanced="0"/>
    <cacheHierarchy uniqueName="[Fact_Transacciones].[Ventas_Totales]" caption="Ventas_Totales" attribute="1" defaultMemberUniqueName="[Fact_Transacciones].[Ventas_Totales].[All]" allUniqueName="[Fact_Transacciones].[Ventas_Totales].[All]" dimensionUniqueName="[Fact_Transacciones]" displayFolder="" count="0" memberValueDatatype="5" unbalanced="0"/>
    <cacheHierarchy uniqueName="[Fact_Transacciones].[Costo_Productos]" caption="Costo_Productos" attribute="1" defaultMemberUniqueName="[Fact_Transacciones].[Costo_Productos].[All]" allUniqueName="[Fact_Transacciones].[Costo_Productos].[All]" dimensionUniqueName="[Fact_Transacciones]" displayFolder="" count="0" memberValueDatatype="5" unbalanced="0"/>
    <cacheHierarchy uniqueName="[Fact_Transacciones].[Beneficio]" caption="Beneficio" attribute="1" defaultMemberUniqueName="[Fact_Transacciones].[Beneficio].[All]" allUniqueName="[Fact_Transacciones].[Beneficio].[All]" dimensionUniqueName="[Fact_Transacciones]" displayFolder="" count="0" memberValueDatatype="5" unbalanced="0"/>
    <cacheHierarchy uniqueName="[Fact_Transacciones].[Margen]" caption="Margen" attribute="1" defaultMemberUniqueName="[Fact_Transacciones].[Margen].[All]" allUniqueName="[Fact_Transacciones].[Margen].[All]" dimensionUniqueName="[Fact_Transacciones]" displayFolder="" count="0" memberValueDatatype="5" unbalanced="0"/>
    <cacheHierarchy uniqueName="[Fact_Transacciones].[Fecha (mes)]" caption="Fecha (mes)" attribute="1" defaultMemberUniqueName="[Fact_Transacciones].[Fecha (mes)].[All]" allUniqueName="[Fact_Transacciones].[Fecha (mes)].[All]" dimensionUniqueName="[Fact_Transacciones]" displayFolder="" count="2" memberValueDatatype="130" unbalanced="0">
      <fieldsUsage count="2">
        <fieldUsage x="-1"/>
        <fieldUsage x="1"/>
      </fieldsUsage>
    </cacheHierarchy>
    <cacheHierarchy uniqueName="[Fact_Transacciones].[Fecha (índice de meses)]" caption="Fecha (índice de meses)" attribute="1" defaultMemberUniqueName="[Fact_Transacciones].[Fecha (índice de meses)].[All]" allUniqueName="[Fact_Transacciones].[Fecha (índice de meses)].[All]" dimensionUniqueName="[Fact_Transacciones]" displayFolder="" count="0" memberValueDatatype="20" unbalanced="0" hidden="1"/>
    <cacheHierarchy uniqueName="[Measures].[Ventas Totales]" caption="Ventas Totales" measure="1" displayFolder="" measureGroup="Fact_Transacciones" count="0"/>
    <cacheHierarchy uniqueName="[Measures].[Costos Totales]" caption="Costos Totales" measure="1" displayFolder="" measureGroup="Fact_Transacciones" count="0"/>
    <cacheHierarchy uniqueName="[Measures].[Beneficio Total]" caption="Beneficio Total" measure="1" displayFolder="" measureGroup="Fact_Transacciones" count="0" oneField="1">
      <fieldsUsage count="1">
        <fieldUsage x="0"/>
      </fieldsUsage>
    </cacheHierarchy>
    <cacheHierarchy uniqueName="[Measures].[Unidades Vendidas]" caption="Unidades Vendidas" measure="1" displayFolder="" measureGroup="Fact_Transacciones" count="0"/>
    <cacheHierarchy uniqueName="[Measures].[Margen %]" caption="Margen %" measure="1" displayFolder="" measureGroup="Fact_Transacciones" count="0"/>
    <cacheHierarchy uniqueName="[Measures].[Margen Optimizado]" caption="Margen Optimizado" measure="1" displayFolder="" measureGroup="Fact_Transaccione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Fact_Transacciones]" caption="__XL_Count Fact_Transacciones" measure="1" displayFolder="" measureGroup="Fact_Transacciones" count="0" hidden="1"/>
    <cacheHierarchy uniqueName="[Measures].[__No measures defined]" caption="__No measures defined" measure="1" displayFolder="" count="0" hidden="1"/>
    <cacheHierarchy uniqueName="[Measures].[Suma de Ventas_Totales]" caption="Suma de Ventas_Totales" measure="1" displayFolder="" measureGroup="Fact_Transacciones" count="0" hidden="1">
      <extLst>
        <ext xmlns:x15="http://schemas.microsoft.com/office/spreadsheetml/2010/11/main" uri="{B97F6D7D-B522-45F9-BDA1-12C45D357490}">
          <x15:cacheHierarchy aggregatedColumn="21"/>
        </ext>
      </extLst>
    </cacheHierarchy>
    <cacheHierarchy uniqueName="[Measures].[Suma de Beneficio]" caption="Suma de Beneficio" measure="1" displayFolder="" measureGroup="Fact_Transacciones" count="0" hidden="1">
      <extLst>
        <ext xmlns:x15="http://schemas.microsoft.com/office/spreadsheetml/2010/11/main" uri="{B97F6D7D-B522-45F9-BDA1-12C45D357490}">
          <x15:cacheHierarchy aggregatedColumn="23"/>
        </ext>
      </extLst>
    </cacheHierarchy>
    <cacheHierarchy uniqueName="[Measures].[Suma de Costo_Productos]" caption="Suma de Costo_Productos" measure="1" displayFolder="" measureGroup="Fact_Transacciones" count="0" hidden="1">
      <extLst>
        <ext xmlns:x15="http://schemas.microsoft.com/office/spreadsheetml/2010/11/main" uri="{B97F6D7D-B522-45F9-BDA1-12C45D357490}">
          <x15:cacheHierarchy aggregatedColumn="22"/>
        </ext>
      </extLst>
    </cacheHierarchy>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Transacciones" uniqueName="[Fact_Transacciones]" caption="Fact_Transacciones"/>
    <dimension measure="1" name="Measures" uniqueName="[Measures]" caption="Measures"/>
  </dimensions>
  <measureGroups count="4">
    <measureGroup name="Dim_Calendario" caption="Dim_Calendario"/>
    <measureGroup name="Dim_Clientes" caption="Dim_Clientes"/>
    <measureGroup name="Dim_Productos" caption="Dim_Productos"/>
    <measureGroup name="Fact_Transacciones" caption="Fact_Transaccion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a" refreshedDate="46280.536448495368" createdVersion="8" refreshedVersion="8" minRefreshableVersion="3" recordCount="0" supportSubquery="1" supportAdvancedDrill="1" xr:uid="{FEB3CACB-C21A-46B3-B294-875CF234D874}">
  <cacheSource type="external" connectionId="9"/>
  <cacheFields count="2">
    <cacheField name="[Measures].[Margen %]" caption="Margen %" numFmtId="0" hierarchy="31" level="32767"/>
    <cacheField name="[Fact_Transacciones].[Fecha (mes)].[Fecha (mes)]" caption="Fecha (mes)" numFmtId="0" hierarchy="25" level="1">
      <sharedItems containsSemiMixedTypes="0" containsNonDate="0" containsString="0"/>
    </cacheField>
  </cacheFields>
  <cacheHierarchies count="41">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Mes]" caption="NumeroMes" attribute="1" defaultMemberUniqueName="[Dim_Calendario].[NumeroMes].[All]" allUniqueName="[Dim_Calendario].[NumeroMes].[All]" dimensionUniqueName="[Dim_Calendario]" displayFolder="" count="0" memberValueDatatype="20" unbalanced="0"/>
    <cacheHierarchy uniqueName="[Dim_Calendario].[NombreMes]" caption="NombreMes" attribute="1" defaultMemberUniqueName="[Dim_Calendario].[NombreMes].[All]" allUniqueName="[Dim_Calendario].[Nombre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0" memberValueDatatype="130" unbalanced="0"/>
    <cacheHierarchy uniqueName="[Dim_Calendario].[Dia]" caption="Dia" attribute="1" defaultMemberUniqueName="[Dim_Calendario].[Dia].[All]" allUniqueName="[Dim_Calendario].[Dia].[All]" dimensionUniqueName="[Dim_Calendario]" displayFolder="" count="0" memberValueDatatype="20" unbalanced="0"/>
    <cacheHierarchy uniqueName="[Dim_Calendario].[NombreDia]" caption="NombreDia" attribute="1" defaultMemberUniqueName="[Dim_Calendario].[NombreDia].[All]" allUniqueName="[Dim_Calendario].[NombreDia].[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Productos].[ID_Producto]" caption="ID_Producto" attribute="1" defaultMemberUniqueName="[Dim_Productos].[ID_Producto].[All]" allUniqueName="[Dim_Productos].[ID_Producto].[All]" dimensionUniqueName="[Dim_Productos]" displayFolder="" count="0" memberValueDatatype="130" unbalanced="0"/>
    <cacheHierarchy uniqueName="[Fact_Transacciones].[ID_Transaccion]" caption="ID_Transaccion" attribute="1" defaultMemberUniqueName="[Fact_Transacciones].[ID_Transaccion].[All]" allUniqueName="[Fact_Transacciones].[ID_Transaccion].[All]" dimensionUniqueName="[Fact_Transacciones]" displayFolder="" count="0" memberValueDatatype="130" unbalanced="0"/>
    <cacheHierarchy uniqueName="[Fact_Transacciones].[Fecha]" caption="Fecha" attribute="1" time="1" defaultMemberUniqueName="[Fact_Transacciones].[Fecha].[All]" allUniqueName="[Fact_Transacciones].[Fecha].[All]" dimensionUniqueName="[Fact_Transacciones]" displayFolder="" count="0" memberValueDatatype="7" unbalanced="0"/>
    <cacheHierarchy uniqueName="[Fact_Transacciones].[ID_Cliente]" caption="ID_Cliente" attribute="1" defaultMemberUniqueName="[Fact_Transacciones].[ID_Cliente].[All]" allUniqueName="[Fact_Transacciones].[ID_Cliente].[All]" dimensionUniqueName="[Fact_Transacciones]" displayFolder="" count="0" memberValueDatatype="130" unbalanced="0"/>
    <cacheHierarchy uniqueName="[Fact_Transacciones].[ID_Producto]" caption="ID_Producto" attribute="1" defaultMemberUniqueName="[Fact_Transacciones].[ID_Producto].[All]" allUniqueName="[Fact_Transacciones].[ID_Producto].[All]" dimensionUniqueName="[Fact_Transacciones]" displayFolder="" count="0" memberValueDatatype="130" unbalanced="0"/>
    <cacheHierarchy uniqueName="[Fact_Transacciones].[Cantidad]" caption="Cantidad" attribute="1" defaultMemberUniqueName="[Fact_Transacciones].[Cantidad].[All]" allUniqueName="[Fact_Transacciones].[Cantidad].[All]" dimensionUniqueName="[Fact_Transacciones]" displayFolder="" count="0" memberValueDatatype="20" unbalanced="0"/>
    <cacheHierarchy uniqueName="[Fact_Transacciones].[Precio_Unitario]" caption="Precio_Unitario" attribute="1" defaultMemberUniqueName="[Fact_Transacciones].[Precio_Unitario].[All]" allUniqueName="[Fact_Transacciones].[Precio_Unitario].[All]" dimensionUniqueName="[Fact_Transacciones]" displayFolder="" count="0" memberValueDatatype="5" unbalanced="0"/>
    <cacheHierarchy uniqueName="[Fact_Transacciones].[Costo_Unitario]" caption="Costo_Unitario" attribute="1" defaultMemberUniqueName="[Fact_Transacciones].[Costo_Unitario].[All]" allUniqueName="[Fact_Transacciones].[Costo_Unitario].[All]" dimensionUniqueName="[Fact_Transacciones]" displayFolder="" count="0" memberValueDatatype="5" unbalanced="0"/>
    <cacheHierarchy uniqueName="[Fact_Transacciones].[Canal]" caption="Canal" attribute="1" defaultMemberUniqueName="[Fact_Transacciones].[Canal].[All]" allUniqueName="[Fact_Transacciones].[Canal].[All]" dimensionUniqueName="[Fact_Transacciones]" displayFolder="" count="2" memberValueDatatype="130" unbalanced="0"/>
    <cacheHierarchy uniqueName="[Fact_Transacciones].[Region]" caption="Region" attribute="1" defaultMemberUniqueName="[Fact_Transacciones].[Region].[All]" allUniqueName="[Fact_Transacciones].[Region].[All]" dimensionUniqueName="[Fact_Transacciones]" displayFolder="" count="2" memberValueDatatype="130" unbalanced="0"/>
    <cacheHierarchy uniqueName="[Fact_Transacciones].[Costo_Envio]" caption="Costo_Envio" attribute="1" defaultMemberUniqueName="[Fact_Transacciones].[Costo_Envio].[All]" allUniqueName="[Fact_Transacciones].[Costo_Envio].[All]" dimensionUniqueName="[Fact_Transacciones]" displayFolder="" count="0" memberValueDatatype="5" unbalanced="0"/>
    <cacheHierarchy uniqueName="[Fact_Transacciones].[Tasa_Interes]" caption="Tasa_Interes" attribute="1" defaultMemberUniqueName="[Fact_Transacciones].[Tasa_Interes].[All]" allUniqueName="[Fact_Transacciones].[Tasa_Interes].[All]" dimensionUniqueName="[Fact_Transacciones]" displayFolder="" count="0" memberValueDatatype="5" unbalanced="0"/>
    <cacheHierarchy uniqueName="[Fact_Transacciones].[Estado]" caption="Estado" attribute="1" defaultMemberUniqueName="[Fact_Transacciones].[Estado].[All]" allUniqueName="[Fact_Transacciones].[Estado].[All]" dimensionUniqueName="[Fact_Transacciones]" displayFolder="" count="0" memberValueDatatype="130" unbalanced="0"/>
    <cacheHierarchy uniqueName="[Fact_Transacciones].[Ventas_Totales]" caption="Ventas_Totales" attribute="1" defaultMemberUniqueName="[Fact_Transacciones].[Ventas_Totales].[All]" allUniqueName="[Fact_Transacciones].[Ventas_Totales].[All]" dimensionUniqueName="[Fact_Transacciones]" displayFolder="" count="0" memberValueDatatype="5" unbalanced="0"/>
    <cacheHierarchy uniqueName="[Fact_Transacciones].[Costo_Productos]" caption="Costo_Productos" attribute="1" defaultMemberUniqueName="[Fact_Transacciones].[Costo_Productos].[All]" allUniqueName="[Fact_Transacciones].[Costo_Productos].[All]" dimensionUniqueName="[Fact_Transacciones]" displayFolder="" count="0" memberValueDatatype="5" unbalanced="0"/>
    <cacheHierarchy uniqueName="[Fact_Transacciones].[Beneficio]" caption="Beneficio" attribute="1" defaultMemberUniqueName="[Fact_Transacciones].[Beneficio].[All]" allUniqueName="[Fact_Transacciones].[Beneficio].[All]" dimensionUniqueName="[Fact_Transacciones]" displayFolder="" count="0" memberValueDatatype="5" unbalanced="0"/>
    <cacheHierarchy uniqueName="[Fact_Transacciones].[Margen]" caption="Margen" attribute="1" defaultMemberUniqueName="[Fact_Transacciones].[Margen].[All]" allUniqueName="[Fact_Transacciones].[Margen].[All]" dimensionUniqueName="[Fact_Transacciones]" displayFolder="" count="0" memberValueDatatype="5" unbalanced="0"/>
    <cacheHierarchy uniqueName="[Fact_Transacciones].[Fecha (mes)]" caption="Fecha (mes)" attribute="1" defaultMemberUniqueName="[Fact_Transacciones].[Fecha (mes)].[All]" allUniqueName="[Fact_Transacciones].[Fecha (mes)].[All]" dimensionUniqueName="[Fact_Transacciones]" displayFolder="" count="2" memberValueDatatype="130" unbalanced="0">
      <fieldsUsage count="2">
        <fieldUsage x="-1"/>
        <fieldUsage x="1"/>
      </fieldsUsage>
    </cacheHierarchy>
    <cacheHierarchy uniqueName="[Fact_Transacciones].[Fecha (índice de meses)]" caption="Fecha (índice de meses)" attribute="1" defaultMemberUniqueName="[Fact_Transacciones].[Fecha (índice de meses)].[All]" allUniqueName="[Fact_Transacciones].[Fecha (índice de meses)].[All]" dimensionUniqueName="[Fact_Transacciones]" displayFolder="" count="0" memberValueDatatype="20" unbalanced="0" hidden="1"/>
    <cacheHierarchy uniqueName="[Measures].[Ventas Totales]" caption="Ventas Totales" measure="1" displayFolder="" measureGroup="Fact_Transacciones" count="0"/>
    <cacheHierarchy uniqueName="[Measures].[Costos Totales]" caption="Costos Totales" measure="1" displayFolder="" measureGroup="Fact_Transacciones" count="0"/>
    <cacheHierarchy uniqueName="[Measures].[Beneficio Total]" caption="Beneficio Total" measure="1" displayFolder="" measureGroup="Fact_Transacciones" count="0"/>
    <cacheHierarchy uniqueName="[Measures].[Unidades Vendidas]" caption="Unidades Vendidas" measure="1" displayFolder="" measureGroup="Fact_Transacciones" count="0"/>
    <cacheHierarchy uniqueName="[Measures].[Margen %]" caption="Margen %" measure="1" displayFolder="" measureGroup="Fact_Transacciones" count="0" oneField="1">
      <fieldsUsage count="1">
        <fieldUsage x="0"/>
      </fieldsUsage>
    </cacheHierarchy>
    <cacheHierarchy uniqueName="[Measures].[Margen Optimizado]" caption="Margen Optimizado" measure="1" displayFolder="" measureGroup="Fact_Transaccione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Fact_Transacciones]" caption="__XL_Count Fact_Transacciones" measure="1" displayFolder="" measureGroup="Fact_Transacciones" count="0" hidden="1"/>
    <cacheHierarchy uniqueName="[Measures].[__No measures defined]" caption="__No measures defined" measure="1" displayFolder="" count="0" hidden="1"/>
    <cacheHierarchy uniqueName="[Measures].[Suma de Ventas_Totales]" caption="Suma de Ventas_Totales" measure="1" displayFolder="" measureGroup="Fact_Transacciones" count="0" hidden="1">
      <extLst>
        <ext xmlns:x15="http://schemas.microsoft.com/office/spreadsheetml/2010/11/main" uri="{B97F6D7D-B522-45F9-BDA1-12C45D357490}">
          <x15:cacheHierarchy aggregatedColumn="21"/>
        </ext>
      </extLst>
    </cacheHierarchy>
    <cacheHierarchy uniqueName="[Measures].[Suma de Beneficio]" caption="Suma de Beneficio" measure="1" displayFolder="" measureGroup="Fact_Transacciones" count="0" hidden="1">
      <extLst>
        <ext xmlns:x15="http://schemas.microsoft.com/office/spreadsheetml/2010/11/main" uri="{B97F6D7D-B522-45F9-BDA1-12C45D357490}">
          <x15:cacheHierarchy aggregatedColumn="23"/>
        </ext>
      </extLst>
    </cacheHierarchy>
    <cacheHierarchy uniqueName="[Measures].[Suma de Costo_Productos]" caption="Suma de Costo_Productos" measure="1" displayFolder="" measureGroup="Fact_Transacciones" count="0" hidden="1">
      <extLst>
        <ext xmlns:x15="http://schemas.microsoft.com/office/spreadsheetml/2010/11/main" uri="{B97F6D7D-B522-45F9-BDA1-12C45D357490}">
          <x15:cacheHierarchy aggregatedColumn="22"/>
        </ext>
      </extLst>
    </cacheHierarchy>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Transacciones" uniqueName="[Fact_Transacciones]" caption="Fact_Transacciones"/>
    <dimension measure="1" name="Measures" uniqueName="[Measures]" caption="Measures"/>
  </dimensions>
  <measureGroups count="4">
    <measureGroup name="Dim_Calendario" caption="Dim_Calendario"/>
    <measureGroup name="Dim_Clientes" caption="Dim_Clientes"/>
    <measureGroup name="Dim_Productos" caption="Dim_Productos"/>
    <measureGroup name="Fact_Transacciones" caption="Fact_Transaccion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a" refreshedDate="46280.536449074076" createdVersion="8" refreshedVersion="8" minRefreshableVersion="3" recordCount="0" supportSubquery="1" supportAdvancedDrill="1" xr:uid="{B2DA519E-7C8A-4227-8087-578A6DCF9EAF}">
  <cacheSource type="external" connectionId="9"/>
  <cacheFields count="2">
    <cacheField name="[Measures].[Unidades Vendidas]" caption="Unidades Vendidas" numFmtId="0" hierarchy="30" level="32767"/>
    <cacheField name="[Fact_Transacciones].[Fecha (mes)].[Fecha (mes)]" caption="Fecha (mes)" numFmtId="0" hierarchy="25" level="1">
      <sharedItems containsSemiMixedTypes="0" containsNonDate="0" containsString="0"/>
    </cacheField>
  </cacheFields>
  <cacheHierarchies count="41">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Mes]" caption="NumeroMes" attribute="1" defaultMemberUniqueName="[Dim_Calendario].[NumeroMes].[All]" allUniqueName="[Dim_Calendario].[NumeroMes].[All]" dimensionUniqueName="[Dim_Calendario]" displayFolder="" count="0" memberValueDatatype="20" unbalanced="0"/>
    <cacheHierarchy uniqueName="[Dim_Calendario].[NombreMes]" caption="NombreMes" attribute="1" defaultMemberUniqueName="[Dim_Calendario].[NombreMes].[All]" allUniqueName="[Dim_Calendario].[Nombre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0" memberValueDatatype="130" unbalanced="0"/>
    <cacheHierarchy uniqueName="[Dim_Calendario].[Dia]" caption="Dia" attribute="1" defaultMemberUniqueName="[Dim_Calendario].[Dia].[All]" allUniqueName="[Dim_Calendario].[Dia].[All]" dimensionUniqueName="[Dim_Calendario]" displayFolder="" count="0" memberValueDatatype="20" unbalanced="0"/>
    <cacheHierarchy uniqueName="[Dim_Calendario].[NombreDia]" caption="NombreDia" attribute="1" defaultMemberUniqueName="[Dim_Calendario].[NombreDia].[All]" allUniqueName="[Dim_Calendario].[NombreDia].[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Productos].[ID_Producto]" caption="ID_Producto" attribute="1" defaultMemberUniqueName="[Dim_Productos].[ID_Producto].[All]" allUniqueName="[Dim_Productos].[ID_Producto].[All]" dimensionUniqueName="[Dim_Productos]" displayFolder="" count="0" memberValueDatatype="130" unbalanced="0"/>
    <cacheHierarchy uniqueName="[Fact_Transacciones].[ID_Transaccion]" caption="ID_Transaccion" attribute="1" defaultMemberUniqueName="[Fact_Transacciones].[ID_Transaccion].[All]" allUniqueName="[Fact_Transacciones].[ID_Transaccion].[All]" dimensionUniqueName="[Fact_Transacciones]" displayFolder="" count="0" memberValueDatatype="130" unbalanced="0"/>
    <cacheHierarchy uniqueName="[Fact_Transacciones].[Fecha]" caption="Fecha" attribute="1" time="1" defaultMemberUniqueName="[Fact_Transacciones].[Fecha].[All]" allUniqueName="[Fact_Transacciones].[Fecha].[All]" dimensionUniqueName="[Fact_Transacciones]" displayFolder="" count="0" memberValueDatatype="7" unbalanced="0"/>
    <cacheHierarchy uniqueName="[Fact_Transacciones].[ID_Cliente]" caption="ID_Cliente" attribute="1" defaultMemberUniqueName="[Fact_Transacciones].[ID_Cliente].[All]" allUniqueName="[Fact_Transacciones].[ID_Cliente].[All]" dimensionUniqueName="[Fact_Transacciones]" displayFolder="" count="0" memberValueDatatype="130" unbalanced="0"/>
    <cacheHierarchy uniqueName="[Fact_Transacciones].[ID_Producto]" caption="ID_Producto" attribute="1" defaultMemberUniqueName="[Fact_Transacciones].[ID_Producto].[All]" allUniqueName="[Fact_Transacciones].[ID_Producto].[All]" dimensionUniqueName="[Fact_Transacciones]" displayFolder="" count="0" memberValueDatatype="130" unbalanced="0"/>
    <cacheHierarchy uniqueName="[Fact_Transacciones].[Cantidad]" caption="Cantidad" attribute="1" defaultMemberUniqueName="[Fact_Transacciones].[Cantidad].[All]" allUniqueName="[Fact_Transacciones].[Cantidad].[All]" dimensionUniqueName="[Fact_Transacciones]" displayFolder="" count="0" memberValueDatatype="20" unbalanced="0"/>
    <cacheHierarchy uniqueName="[Fact_Transacciones].[Precio_Unitario]" caption="Precio_Unitario" attribute="1" defaultMemberUniqueName="[Fact_Transacciones].[Precio_Unitario].[All]" allUniqueName="[Fact_Transacciones].[Precio_Unitario].[All]" dimensionUniqueName="[Fact_Transacciones]" displayFolder="" count="0" memberValueDatatype="5" unbalanced="0"/>
    <cacheHierarchy uniqueName="[Fact_Transacciones].[Costo_Unitario]" caption="Costo_Unitario" attribute="1" defaultMemberUniqueName="[Fact_Transacciones].[Costo_Unitario].[All]" allUniqueName="[Fact_Transacciones].[Costo_Unitario].[All]" dimensionUniqueName="[Fact_Transacciones]" displayFolder="" count="0" memberValueDatatype="5" unbalanced="0"/>
    <cacheHierarchy uniqueName="[Fact_Transacciones].[Canal]" caption="Canal" attribute="1" defaultMemberUniqueName="[Fact_Transacciones].[Canal].[All]" allUniqueName="[Fact_Transacciones].[Canal].[All]" dimensionUniqueName="[Fact_Transacciones]" displayFolder="" count="2" memberValueDatatype="130" unbalanced="0"/>
    <cacheHierarchy uniqueName="[Fact_Transacciones].[Region]" caption="Region" attribute="1" defaultMemberUniqueName="[Fact_Transacciones].[Region].[All]" allUniqueName="[Fact_Transacciones].[Region].[All]" dimensionUniqueName="[Fact_Transacciones]" displayFolder="" count="2" memberValueDatatype="130" unbalanced="0"/>
    <cacheHierarchy uniqueName="[Fact_Transacciones].[Costo_Envio]" caption="Costo_Envio" attribute="1" defaultMemberUniqueName="[Fact_Transacciones].[Costo_Envio].[All]" allUniqueName="[Fact_Transacciones].[Costo_Envio].[All]" dimensionUniqueName="[Fact_Transacciones]" displayFolder="" count="0" memberValueDatatype="5" unbalanced="0"/>
    <cacheHierarchy uniqueName="[Fact_Transacciones].[Tasa_Interes]" caption="Tasa_Interes" attribute="1" defaultMemberUniqueName="[Fact_Transacciones].[Tasa_Interes].[All]" allUniqueName="[Fact_Transacciones].[Tasa_Interes].[All]" dimensionUniqueName="[Fact_Transacciones]" displayFolder="" count="0" memberValueDatatype="5" unbalanced="0"/>
    <cacheHierarchy uniqueName="[Fact_Transacciones].[Estado]" caption="Estado" attribute="1" defaultMemberUniqueName="[Fact_Transacciones].[Estado].[All]" allUniqueName="[Fact_Transacciones].[Estado].[All]" dimensionUniqueName="[Fact_Transacciones]" displayFolder="" count="0" memberValueDatatype="130" unbalanced="0"/>
    <cacheHierarchy uniqueName="[Fact_Transacciones].[Ventas_Totales]" caption="Ventas_Totales" attribute="1" defaultMemberUniqueName="[Fact_Transacciones].[Ventas_Totales].[All]" allUniqueName="[Fact_Transacciones].[Ventas_Totales].[All]" dimensionUniqueName="[Fact_Transacciones]" displayFolder="" count="0" memberValueDatatype="5" unbalanced="0"/>
    <cacheHierarchy uniqueName="[Fact_Transacciones].[Costo_Productos]" caption="Costo_Productos" attribute="1" defaultMemberUniqueName="[Fact_Transacciones].[Costo_Productos].[All]" allUniqueName="[Fact_Transacciones].[Costo_Productos].[All]" dimensionUniqueName="[Fact_Transacciones]" displayFolder="" count="0" memberValueDatatype="5" unbalanced="0"/>
    <cacheHierarchy uniqueName="[Fact_Transacciones].[Beneficio]" caption="Beneficio" attribute="1" defaultMemberUniqueName="[Fact_Transacciones].[Beneficio].[All]" allUniqueName="[Fact_Transacciones].[Beneficio].[All]" dimensionUniqueName="[Fact_Transacciones]" displayFolder="" count="0" memberValueDatatype="5" unbalanced="0"/>
    <cacheHierarchy uniqueName="[Fact_Transacciones].[Margen]" caption="Margen" attribute="1" defaultMemberUniqueName="[Fact_Transacciones].[Margen].[All]" allUniqueName="[Fact_Transacciones].[Margen].[All]" dimensionUniqueName="[Fact_Transacciones]" displayFolder="" count="0" memberValueDatatype="5" unbalanced="0"/>
    <cacheHierarchy uniqueName="[Fact_Transacciones].[Fecha (mes)]" caption="Fecha (mes)" attribute="1" defaultMemberUniqueName="[Fact_Transacciones].[Fecha (mes)].[All]" allUniqueName="[Fact_Transacciones].[Fecha (mes)].[All]" dimensionUniqueName="[Fact_Transacciones]" displayFolder="" count="2" memberValueDatatype="130" unbalanced="0">
      <fieldsUsage count="2">
        <fieldUsage x="-1"/>
        <fieldUsage x="1"/>
      </fieldsUsage>
    </cacheHierarchy>
    <cacheHierarchy uniqueName="[Fact_Transacciones].[Fecha (índice de meses)]" caption="Fecha (índice de meses)" attribute="1" defaultMemberUniqueName="[Fact_Transacciones].[Fecha (índice de meses)].[All]" allUniqueName="[Fact_Transacciones].[Fecha (índice de meses)].[All]" dimensionUniqueName="[Fact_Transacciones]" displayFolder="" count="0" memberValueDatatype="20" unbalanced="0" hidden="1"/>
    <cacheHierarchy uniqueName="[Measures].[Ventas Totales]" caption="Ventas Totales" measure="1" displayFolder="" measureGroup="Fact_Transacciones" count="0"/>
    <cacheHierarchy uniqueName="[Measures].[Costos Totales]" caption="Costos Totales" measure="1" displayFolder="" measureGroup="Fact_Transacciones" count="0"/>
    <cacheHierarchy uniqueName="[Measures].[Beneficio Total]" caption="Beneficio Total" measure="1" displayFolder="" measureGroup="Fact_Transacciones" count="0"/>
    <cacheHierarchy uniqueName="[Measures].[Unidades Vendidas]" caption="Unidades Vendidas" measure="1" displayFolder="" measureGroup="Fact_Transacciones" count="0" oneField="1">
      <fieldsUsage count="1">
        <fieldUsage x="0"/>
      </fieldsUsage>
    </cacheHierarchy>
    <cacheHierarchy uniqueName="[Measures].[Margen %]" caption="Margen %" measure="1" displayFolder="" measureGroup="Fact_Transacciones" count="0"/>
    <cacheHierarchy uniqueName="[Measures].[Margen Optimizado]" caption="Margen Optimizado" measure="1" displayFolder="" measureGroup="Fact_Transaccione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Fact_Transacciones]" caption="__XL_Count Fact_Transacciones" measure="1" displayFolder="" measureGroup="Fact_Transacciones" count="0" hidden="1"/>
    <cacheHierarchy uniqueName="[Measures].[__No measures defined]" caption="__No measures defined" measure="1" displayFolder="" count="0" hidden="1"/>
    <cacheHierarchy uniqueName="[Measures].[Suma de Ventas_Totales]" caption="Suma de Ventas_Totales" measure="1" displayFolder="" measureGroup="Fact_Transacciones" count="0" hidden="1">
      <extLst>
        <ext xmlns:x15="http://schemas.microsoft.com/office/spreadsheetml/2010/11/main" uri="{B97F6D7D-B522-45F9-BDA1-12C45D357490}">
          <x15:cacheHierarchy aggregatedColumn="21"/>
        </ext>
      </extLst>
    </cacheHierarchy>
    <cacheHierarchy uniqueName="[Measures].[Suma de Beneficio]" caption="Suma de Beneficio" measure="1" displayFolder="" measureGroup="Fact_Transacciones" count="0" hidden="1">
      <extLst>
        <ext xmlns:x15="http://schemas.microsoft.com/office/spreadsheetml/2010/11/main" uri="{B97F6D7D-B522-45F9-BDA1-12C45D357490}">
          <x15:cacheHierarchy aggregatedColumn="23"/>
        </ext>
      </extLst>
    </cacheHierarchy>
    <cacheHierarchy uniqueName="[Measures].[Suma de Costo_Productos]" caption="Suma de Costo_Productos" measure="1" displayFolder="" measureGroup="Fact_Transacciones" count="0" hidden="1">
      <extLst>
        <ext xmlns:x15="http://schemas.microsoft.com/office/spreadsheetml/2010/11/main" uri="{B97F6D7D-B522-45F9-BDA1-12C45D357490}">
          <x15:cacheHierarchy aggregatedColumn="22"/>
        </ext>
      </extLst>
    </cacheHierarchy>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Transacciones" uniqueName="[Fact_Transacciones]" caption="Fact_Transacciones"/>
    <dimension measure="1" name="Measures" uniqueName="[Measures]" caption="Measures"/>
  </dimensions>
  <measureGroups count="4">
    <measureGroup name="Dim_Calendario" caption="Dim_Calendario"/>
    <measureGroup name="Dim_Clientes" caption="Dim_Clientes"/>
    <measureGroup name="Dim_Productos" caption="Dim_Productos"/>
    <measureGroup name="Fact_Transacciones" caption="Fact_Transaccion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a" refreshedDate="46280.536449652776" createdVersion="8" refreshedVersion="8" minRefreshableVersion="3" recordCount="0" supportSubquery="1" supportAdvancedDrill="1" xr:uid="{CA19929D-41C0-42DE-A6B8-CC99C14F458A}">
  <cacheSource type="external" connectionId="9"/>
  <cacheFields count="3">
    <cacheField name="[Fact_Transacciones].[Region].[Region]" caption="Region" numFmtId="0" hierarchy="17" level="1">
      <sharedItems count="5">
        <s v="Centro"/>
        <s v="Cuyo"/>
        <s v="Litoral"/>
        <s v="Norte"/>
        <s v="Sur"/>
      </sharedItems>
    </cacheField>
    <cacheField name="[Measures].[Beneficio Total]" caption="Beneficio Total" numFmtId="0" hierarchy="29" level="32767"/>
    <cacheField name="[Fact_Transacciones].[Fecha (mes)].[Fecha (mes)]" caption="Fecha (mes)" numFmtId="0" hierarchy="25" level="1">
      <sharedItems containsSemiMixedTypes="0" containsNonDate="0" containsString="0"/>
    </cacheField>
  </cacheFields>
  <cacheHierarchies count="41">
    <cacheHierarchy uniqueName="[Dim_Calendario].[Fecha]" caption="Fecha" attribute="1" time="1" defaultMemberUniqueName="[Dim_Calendario].[Fecha].[All]" allUniqueName="[Dim_Calendario].[Fecha].[All]" dimensionUniqueName="[Dim_Calendario]" displayFolder="" count="2" memberValueDatatype="7" unbalanced="0"/>
    <cacheHierarchy uniqueName="[Dim_Calendario].[Año]" caption="Año" attribute="1" defaultMemberUniqueName="[Dim_Calendario].[Año].[All]" allUniqueName="[Dim_Calendario].[Año].[All]" dimensionUniqueName="[Dim_Calendario]" displayFolder="" count="2" memberValueDatatype="20" unbalanced="0"/>
    <cacheHierarchy uniqueName="[Dim_Calendario].[NumeroMes]" caption="NumeroMes" attribute="1" defaultMemberUniqueName="[Dim_Calendario].[NumeroMes].[All]" allUniqueName="[Dim_Calendario].[NumeroMes].[All]" dimensionUniqueName="[Dim_Calendario]" displayFolder="" count="2" memberValueDatatype="20" unbalanced="0"/>
    <cacheHierarchy uniqueName="[Dim_Calendario].[NombreMes]" caption="NombreMes" attribute="1" defaultMemberUniqueName="[Dim_Calendario].[NombreMes].[All]" allUniqueName="[Dim_Calendario].[NombreMes].[All]" dimensionUniqueName="[Dim_Calendario]" displayFolder="" count="2" memberValueDatatype="130" unbalanced="0"/>
    <cacheHierarchy uniqueName="[Dim_Calendario].[Trimestre]" caption="Trimestre" attribute="1" defaultMemberUniqueName="[Dim_Calendario].[Trimestre].[All]" allUniqueName="[Dim_Calendario].[Trimestre].[All]" dimensionUniqueName="[Dim_Calendario]" displayFolder="" count="2" memberValueDatatype="130" unbalanced="0"/>
    <cacheHierarchy uniqueName="[Dim_Calendario].[Dia]" caption="Dia" attribute="1" defaultMemberUniqueName="[Dim_Calendario].[Dia].[All]" allUniqueName="[Dim_Calendario].[Dia].[All]" dimensionUniqueName="[Dim_Calendario]" displayFolder="" count="2" memberValueDatatype="20" unbalanced="0"/>
    <cacheHierarchy uniqueName="[Dim_Calendario].[NombreDia]" caption="NombreDia" attribute="1" defaultMemberUniqueName="[Dim_Calendario].[NombreDia].[All]" allUniqueName="[Dim_Calendario].[NombreDia].[All]" dimensionUniqueName="[Dim_Calendario]" displayFolder="" count="2" memberValueDatatype="130" unbalanced="0"/>
    <cacheHierarchy uniqueName="[Dim_Clientes].[ID_Cliente]" caption="ID_Cliente" attribute="1" defaultMemberUniqueName="[Dim_Clientes].[ID_Cliente].[All]" allUniqueName="[Dim_Clientes].[ID_Cliente].[All]" dimensionUniqueName="[Dim_Clientes]" displayFolder="" count="2" memberValueDatatype="130" unbalanced="0"/>
    <cacheHierarchy uniqueName="[Dim_Productos].[ID_Producto]" caption="ID_Producto" attribute="1" defaultMemberUniqueName="[Dim_Productos].[ID_Producto].[All]" allUniqueName="[Dim_Productos].[ID_Producto].[All]" dimensionUniqueName="[Dim_Productos]" displayFolder="" count="2" memberValueDatatype="130" unbalanced="0"/>
    <cacheHierarchy uniqueName="[Fact_Transacciones].[ID_Transaccion]" caption="ID_Transaccion" attribute="1" defaultMemberUniqueName="[Fact_Transacciones].[ID_Transaccion].[All]" allUniqueName="[Fact_Transacciones].[ID_Transaccion].[All]" dimensionUniqueName="[Fact_Transacciones]" displayFolder="" count="2" memberValueDatatype="130" unbalanced="0"/>
    <cacheHierarchy uniqueName="[Fact_Transacciones].[Fecha]" caption="Fecha" attribute="1" time="1" defaultMemberUniqueName="[Fact_Transacciones].[Fecha].[All]" allUniqueName="[Fact_Transacciones].[Fecha].[All]" dimensionUniqueName="[Fact_Transacciones]" displayFolder="" count="2" memberValueDatatype="7" unbalanced="0"/>
    <cacheHierarchy uniqueName="[Fact_Transacciones].[ID_Cliente]" caption="ID_Cliente" attribute="1" defaultMemberUniqueName="[Fact_Transacciones].[ID_Cliente].[All]" allUniqueName="[Fact_Transacciones].[ID_Cliente].[All]" dimensionUniqueName="[Fact_Transacciones]" displayFolder="" count="2" memberValueDatatype="130" unbalanced="0"/>
    <cacheHierarchy uniqueName="[Fact_Transacciones].[ID_Producto]" caption="ID_Producto" attribute="1" defaultMemberUniqueName="[Fact_Transacciones].[ID_Producto].[All]" allUniqueName="[Fact_Transacciones].[ID_Producto].[All]" dimensionUniqueName="[Fact_Transacciones]" displayFolder="" count="2" memberValueDatatype="130" unbalanced="0"/>
    <cacheHierarchy uniqueName="[Fact_Transacciones].[Cantidad]" caption="Cantidad" attribute="1" defaultMemberUniqueName="[Fact_Transacciones].[Cantidad].[All]" allUniqueName="[Fact_Transacciones].[Cantidad].[All]" dimensionUniqueName="[Fact_Transacciones]" displayFolder="" count="2" memberValueDatatype="20" unbalanced="0"/>
    <cacheHierarchy uniqueName="[Fact_Transacciones].[Precio_Unitario]" caption="Precio_Unitario" attribute="1" defaultMemberUniqueName="[Fact_Transacciones].[Precio_Unitario].[All]" allUniqueName="[Fact_Transacciones].[Precio_Unitario].[All]" dimensionUniqueName="[Fact_Transacciones]" displayFolder="" count="2" memberValueDatatype="5" unbalanced="0"/>
    <cacheHierarchy uniqueName="[Fact_Transacciones].[Costo_Unitario]" caption="Costo_Unitario" attribute="1" defaultMemberUniqueName="[Fact_Transacciones].[Costo_Unitario].[All]" allUniqueName="[Fact_Transacciones].[Costo_Unitario].[All]" dimensionUniqueName="[Fact_Transacciones]" displayFolder="" count="2" memberValueDatatype="5" unbalanced="0"/>
    <cacheHierarchy uniqueName="[Fact_Transacciones].[Canal]" caption="Canal" attribute="1" defaultMemberUniqueName="[Fact_Transacciones].[Canal].[All]" allUniqueName="[Fact_Transacciones].[Canal].[All]" dimensionUniqueName="[Fact_Transacciones]" displayFolder="" count="2" memberValueDatatype="130" unbalanced="0"/>
    <cacheHierarchy uniqueName="[Fact_Transacciones].[Region]" caption="Region" attribute="1" defaultMemberUniqueName="[Fact_Transacciones].[Region].[All]" allUniqueName="[Fact_Transacciones].[Region].[All]" dimensionUniqueName="[Fact_Transacciones]" displayFolder="" count="2" memberValueDatatype="130" unbalanced="0">
      <fieldsUsage count="2">
        <fieldUsage x="-1"/>
        <fieldUsage x="0"/>
      </fieldsUsage>
    </cacheHierarchy>
    <cacheHierarchy uniqueName="[Fact_Transacciones].[Costo_Envio]" caption="Costo_Envio" attribute="1" defaultMemberUniqueName="[Fact_Transacciones].[Costo_Envio].[All]" allUniqueName="[Fact_Transacciones].[Costo_Envio].[All]" dimensionUniqueName="[Fact_Transacciones]" displayFolder="" count="2" memberValueDatatype="5" unbalanced="0"/>
    <cacheHierarchy uniqueName="[Fact_Transacciones].[Tasa_Interes]" caption="Tasa_Interes" attribute="1" defaultMemberUniqueName="[Fact_Transacciones].[Tasa_Interes].[All]" allUniqueName="[Fact_Transacciones].[Tasa_Interes].[All]" dimensionUniqueName="[Fact_Transacciones]" displayFolder="" count="2" memberValueDatatype="5" unbalanced="0"/>
    <cacheHierarchy uniqueName="[Fact_Transacciones].[Estado]" caption="Estado" attribute="1" defaultMemberUniqueName="[Fact_Transacciones].[Estado].[All]" allUniqueName="[Fact_Transacciones].[Estado].[All]" dimensionUniqueName="[Fact_Transacciones]" displayFolder="" count="2" memberValueDatatype="130" unbalanced="0"/>
    <cacheHierarchy uniqueName="[Fact_Transacciones].[Ventas_Totales]" caption="Ventas_Totales" attribute="1" defaultMemberUniqueName="[Fact_Transacciones].[Ventas_Totales].[All]" allUniqueName="[Fact_Transacciones].[Ventas_Totales].[All]" dimensionUniqueName="[Fact_Transacciones]" displayFolder="" count="2" memberValueDatatype="5" unbalanced="0"/>
    <cacheHierarchy uniqueName="[Fact_Transacciones].[Costo_Productos]" caption="Costo_Productos" attribute="1" defaultMemberUniqueName="[Fact_Transacciones].[Costo_Productos].[All]" allUniqueName="[Fact_Transacciones].[Costo_Productos].[All]" dimensionUniqueName="[Fact_Transacciones]" displayFolder="" count="2" memberValueDatatype="5" unbalanced="0"/>
    <cacheHierarchy uniqueName="[Fact_Transacciones].[Beneficio]" caption="Beneficio" attribute="1" defaultMemberUniqueName="[Fact_Transacciones].[Beneficio].[All]" allUniqueName="[Fact_Transacciones].[Beneficio].[All]" dimensionUniqueName="[Fact_Transacciones]" displayFolder="" count="2" memberValueDatatype="5" unbalanced="0"/>
    <cacheHierarchy uniqueName="[Fact_Transacciones].[Margen]" caption="Margen" attribute="1" defaultMemberUniqueName="[Fact_Transacciones].[Margen].[All]" allUniqueName="[Fact_Transacciones].[Margen].[All]" dimensionUniqueName="[Fact_Transacciones]" displayFolder="" count="2" memberValueDatatype="5" unbalanced="0"/>
    <cacheHierarchy uniqueName="[Fact_Transacciones].[Fecha (mes)]" caption="Fecha (mes)" attribute="1" defaultMemberUniqueName="[Fact_Transacciones].[Fecha (mes)].[All]" allUniqueName="[Fact_Transacciones].[Fecha (mes)].[All]" dimensionUniqueName="[Fact_Transacciones]" displayFolder="" count="2" memberValueDatatype="130" unbalanced="0">
      <fieldsUsage count="2">
        <fieldUsage x="-1"/>
        <fieldUsage x="2"/>
      </fieldsUsage>
    </cacheHierarchy>
    <cacheHierarchy uniqueName="[Fact_Transacciones].[Fecha (índice de meses)]" caption="Fecha (índice de meses)" attribute="1" defaultMemberUniqueName="[Fact_Transacciones].[Fecha (índice de meses)].[All]" allUniqueName="[Fact_Transacciones].[Fecha (índice de meses)].[All]" dimensionUniqueName="[Fact_Transacciones]" displayFolder="" count="2" memberValueDatatype="20" unbalanced="0" hidden="1"/>
    <cacheHierarchy uniqueName="[Measures].[Ventas Totales]" caption="Ventas Totales" measure="1" displayFolder="" measureGroup="Fact_Transacciones" count="0"/>
    <cacheHierarchy uniqueName="[Measures].[Costos Totales]" caption="Costos Totales" measure="1" displayFolder="" measureGroup="Fact_Transacciones" count="0"/>
    <cacheHierarchy uniqueName="[Measures].[Beneficio Total]" caption="Beneficio Total" measure="1" displayFolder="" measureGroup="Fact_Transacciones" count="0" oneField="1">
      <fieldsUsage count="1">
        <fieldUsage x="1"/>
      </fieldsUsage>
    </cacheHierarchy>
    <cacheHierarchy uniqueName="[Measures].[Unidades Vendidas]" caption="Unidades Vendidas" measure="1" displayFolder="" measureGroup="Fact_Transacciones" count="0"/>
    <cacheHierarchy uniqueName="[Measures].[Margen %]" caption="Margen %" measure="1" displayFolder="" measureGroup="Fact_Transacciones" count="0"/>
    <cacheHierarchy uniqueName="[Measures].[Margen Optimizado]" caption="Margen Optimizado" measure="1" displayFolder="" measureGroup="Fact_Transaccione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Fact_Transacciones]" caption="__XL_Count Fact_Transacciones" measure="1" displayFolder="" measureGroup="Fact_Transacciones" count="0" hidden="1"/>
    <cacheHierarchy uniqueName="[Measures].[__No measures defined]" caption="__No measures defined" measure="1" displayFolder="" count="0" hidden="1"/>
    <cacheHierarchy uniqueName="[Measures].[Suma de Ventas_Totales]" caption="Suma de Ventas_Totales" measure="1" displayFolder="" measureGroup="Fact_Transacciones" count="0" hidden="1">
      <extLst>
        <ext xmlns:x15="http://schemas.microsoft.com/office/spreadsheetml/2010/11/main" uri="{B97F6D7D-B522-45F9-BDA1-12C45D357490}">
          <x15:cacheHierarchy aggregatedColumn="21"/>
        </ext>
      </extLst>
    </cacheHierarchy>
    <cacheHierarchy uniqueName="[Measures].[Suma de Beneficio]" caption="Suma de Beneficio" measure="1" displayFolder="" measureGroup="Fact_Transacciones" count="0" hidden="1">
      <extLst>
        <ext xmlns:x15="http://schemas.microsoft.com/office/spreadsheetml/2010/11/main" uri="{B97F6D7D-B522-45F9-BDA1-12C45D357490}">
          <x15:cacheHierarchy aggregatedColumn="23"/>
        </ext>
      </extLst>
    </cacheHierarchy>
    <cacheHierarchy uniqueName="[Measures].[Suma de Costo_Productos]" caption="Suma de Costo_Productos" measure="1" displayFolder="" measureGroup="Fact_Transacciones" count="0" hidden="1">
      <extLst>
        <ext xmlns:x15="http://schemas.microsoft.com/office/spreadsheetml/2010/11/main" uri="{B97F6D7D-B522-45F9-BDA1-12C45D357490}">
          <x15:cacheHierarchy aggregatedColumn="22"/>
        </ext>
      </extLst>
    </cacheHierarchy>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Transacciones" uniqueName="[Fact_Transacciones]" caption="Fact_Transacciones"/>
    <dimension measure="1" name="Measures" uniqueName="[Measures]" caption="Measures"/>
  </dimensions>
  <measureGroups count="4">
    <measureGroup name="Dim_Calendario" caption="Dim_Calendario"/>
    <measureGroup name="Dim_Clientes" caption="Dim_Clientes"/>
    <measureGroup name="Dim_Productos" caption="Dim_Productos"/>
    <measureGroup name="Fact_Transacciones" caption="Fact_Transaccion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a" refreshedDate="46280.536450231484" createdVersion="8" refreshedVersion="8" minRefreshableVersion="3" recordCount="0" supportSubquery="1" supportAdvancedDrill="1" xr:uid="{588DE33B-D879-46A2-BA54-DE4559EB643A}">
  <cacheSource type="external" connectionId="9"/>
  <cacheFields count="3">
    <cacheField name="[Fact_Transacciones].[Canal].[Canal]" caption="Canal" numFmtId="0" hierarchy="16" level="1">
      <sharedItems count="3">
        <s v="Mayorista"/>
        <s v="Minorista"/>
        <s v="Online"/>
      </sharedItems>
    </cacheField>
    <cacheField name="[Measures].[Ventas Totales]" caption="Ventas Totales" numFmtId="0" hierarchy="27" level="32767"/>
    <cacheField name="[Fact_Transacciones].[Fecha (mes)].[Fecha (mes)]" caption="Fecha (mes)" numFmtId="0" hierarchy="25" level="1">
      <sharedItems containsSemiMixedTypes="0" containsNonDate="0" containsString="0"/>
    </cacheField>
  </cacheFields>
  <cacheHierarchies count="41">
    <cacheHierarchy uniqueName="[Dim_Calendario].[Fecha]" caption="Fecha" attribute="1" time="1" defaultMemberUniqueName="[Dim_Calendario].[Fecha].[All]" allUniqueName="[Dim_Calendario].[Fecha].[All]" dimensionUniqueName="[Dim_Calendario]" displayFolder="" count="2" memberValueDatatype="7" unbalanced="0"/>
    <cacheHierarchy uniqueName="[Dim_Calendario].[Año]" caption="Año" attribute="1" defaultMemberUniqueName="[Dim_Calendario].[Año].[All]" allUniqueName="[Dim_Calendario].[Año].[All]" dimensionUniqueName="[Dim_Calendario]" displayFolder="" count="2" memberValueDatatype="20" unbalanced="0"/>
    <cacheHierarchy uniqueName="[Dim_Calendario].[NumeroMes]" caption="NumeroMes" attribute="1" defaultMemberUniqueName="[Dim_Calendario].[NumeroMes].[All]" allUniqueName="[Dim_Calendario].[NumeroMes].[All]" dimensionUniqueName="[Dim_Calendario]" displayFolder="" count="2" memberValueDatatype="20" unbalanced="0"/>
    <cacheHierarchy uniqueName="[Dim_Calendario].[NombreMes]" caption="NombreMes" attribute="1" defaultMemberUniqueName="[Dim_Calendario].[NombreMes].[All]" allUniqueName="[Dim_Calendario].[NombreMes].[All]" dimensionUniqueName="[Dim_Calendario]" displayFolder="" count="2" memberValueDatatype="130" unbalanced="0"/>
    <cacheHierarchy uniqueName="[Dim_Calendario].[Trimestre]" caption="Trimestre" attribute="1" defaultMemberUniqueName="[Dim_Calendario].[Trimestre].[All]" allUniqueName="[Dim_Calendario].[Trimestre].[All]" dimensionUniqueName="[Dim_Calendario]" displayFolder="" count="2" memberValueDatatype="130" unbalanced="0"/>
    <cacheHierarchy uniqueName="[Dim_Calendario].[Dia]" caption="Dia" attribute="1" defaultMemberUniqueName="[Dim_Calendario].[Dia].[All]" allUniqueName="[Dim_Calendario].[Dia].[All]" dimensionUniqueName="[Dim_Calendario]" displayFolder="" count="2" memberValueDatatype="20" unbalanced="0"/>
    <cacheHierarchy uniqueName="[Dim_Calendario].[NombreDia]" caption="NombreDia" attribute="1" defaultMemberUniqueName="[Dim_Calendario].[NombreDia].[All]" allUniqueName="[Dim_Calendario].[NombreDia].[All]" dimensionUniqueName="[Dim_Calendario]" displayFolder="" count="2" memberValueDatatype="130" unbalanced="0"/>
    <cacheHierarchy uniqueName="[Dim_Clientes].[ID_Cliente]" caption="ID_Cliente" attribute="1" defaultMemberUniqueName="[Dim_Clientes].[ID_Cliente].[All]" allUniqueName="[Dim_Clientes].[ID_Cliente].[All]" dimensionUniqueName="[Dim_Clientes]" displayFolder="" count="2" memberValueDatatype="130" unbalanced="0"/>
    <cacheHierarchy uniqueName="[Dim_Productos].[ID_Producto]" caption="ID_Producto" attribute="1" defaultMemberUniqueName="[Dim_Productos].[ID_Producto].[All]" allUniqueName="[Dim_Productos].[ID_Producto].[All]" dimensionUniqueName="[Dim_Productos]" displayFolder="" count="2" memberValueDatatype="130" unbalanced="0"/>
    <cacheHierarchy uniqueName="[Fact_Transacciones].[ID_Transaccion]" caption="ID_Transaccion" attribute="1" defaultMemberUniqueName="[Fact_Transacciones].[ID_Transaccion].[All]" allUniqueName="[Fact_Transacciones].[ID_Transaccion].[All]" dimensionUniqueName="[Fact_Transacciones]" displayFolder="" count="2" memberValueDatatype="130" unbalanced="0"/>
    <cacheHierarchy uniqueName="[Fact_Transacciones].[Fecha]" caption="Fecha" attribute="1" time="1" defaultMemberUniqueName="[Fact_Transacciones].[Fecha].[All]" allUniqueName="[Fact_Transacciones].[Fecha].[All]" dimensionUniqueName="[Fact_Transacciones]" displayFolder="" count="2" memberValueDatatype="7" unbalanced="0"/>
    <cacheHierarchy uniqueName="[Fact_Transacciones].[ID_Cliente]" caption="ID_Cliente" attribute="1" defaultMemberUniqueName="[Fact_Transacciones].[ID_Cliente].[All]" allUniqueName="[Fact_Transacciones].[ID_Cliente].[All]" dimensionUniqueName="[Fact_Transacciones]" displayFolder="" count="2" memberValueDatatype="130" unbalanced="0"/>
    <cacheHierarchy uniqueName="[Fact_Transacciones].[ID_Producto]" caption="ID_Producto" attribute="1" defaultMemberUniqueName="[Fact_Transacciones].[ID_Producto].[All]" allUniqueName="[Fact_Transacciones].[ID_Producto].[All]" dimensionUniqueName="[Fact_Transacciones]" displayFolder="" count="2" memberValueDatatype="130" unbalanced="0"/>
    <cacheHierarchy uniqueName="[Fact_Transacciones].[Cantidad]" caption="Cantidad" attribute="1" defaultMemberUniqueName="[Fact_Transacciones].[Cantidad].[All]" allUniqueName="[Fact_Transacciones].[Cantidad].[All]" dimensionUniqueName="[Fact_Transacciones]" displayFolder="" count="2" memberValueDatatype="20" unbalanced="0"/>
    <cacheHierarchy uniqueName="[Fact_Transacciones].[Precio_Unitario]" caption="Precio_Unitario" attribute="1" defaultMemberUniqueName="[Fact_Transacciones].[Precio_Unitario].[All]" allUniqueName="[Fact_Transacciones].[Precio_Unitario].[All]" dimensionUniqueName="[Fact_Transacciones]" displayFolder="" count="2" memberValueDatatype="5" unbalanced="0"/>
    <cacheHierarchy uniqueName="[Fact_Transacciones].[Costo_Unitario]" caption="Costo_Unitario" attribute="1" defaultMemberUniqueName="[Fact_Transacciones].[Costo_Unitario].[All]" allUniqueName="[Fact_Transacciones].[Costo_Unitario].[All]" dimensionUniqueName="[Fact_Transacciones]" displayFolder="" count="2" memberValueDatatype="5" unbalanced="0"/>
    <cacheHierarchy uniqueName="[Fact_Transacciones].[Canal]" caption="Canal" attribute="1" defaultMemberUniqueName="[Fact_Transacciones].[Canal].[All]" allUniqueName="[Fact_Transacciones].[Canal].[All]" dimensionUniqueName="[Fact_Transacciones]" displayFolder="" count="2" memberValueDatatype="130" unbalanced="0">
      <fieldsUsage count="2">
        <fieldUsage x="-1"/>
        <fieldUsage x="0"/>
      </fieldsUsage>
    </cacheHierarchy>
    <cacheHierarchy uniqueName="[Fact_Transacciones].[Region]" caption="Region" attribute="1" defaultMemberUniqueName="[Fact_Transacciones].[Region].[All]" allUniqueName="[Fact_Transacciones].[Region].[All]" dimensionUniqueName="[Fact_Transacciones]" displayFolder="" count="2" memberValueDatatype="130" unbalanced="0"/>
    <cacheHierarchy uniqueName="[Fact_Transacciones].[Costo_Envio]" caption="Costo_Envio" attribute="1" defaultMemberUniqueName="[Fact_Transacciones].[Costo_Envio].[All]" allUniqueName="[Fact_Transacciones].[Costo_Envio].[All]" dimensionUniqueName="[Fact_Transacciones]" displayFolder="" count="2" memberValueDatatype="5" unbalanced="0"/>
    <cacheHierarchy uniqueName="[Fact_Transacciones].[Tasa_Interes]" caption="Tasa_Interes" attribute="1" defaultMemberUniqueName="[Fact_Transacciones].[Tasa_Interes].[All]" allUniqueName="[Fact_Transacciones].[Tasa_Interes].[All]" dimensionUniqueName="[Fact_Transacciones]" displayFolder="" count="2" memberValueDatatype="5" unbalanced="0"/>
    <cacheHierarchy uniqueName="[Fact_Transacciones].[Estado]" caption="Estado" attribute="1" defaultMemberUniqueName="[Fact_Transacciones].[Estado].[All]" allUniqueName="[Fact_Transacciones].[Estado].[All]" dimensionUniqueName="[Fact_Transacciones]" displayFolder="" count="2" memberValueDatatype="130" unbalanced="0"/>
    <cacheHierarchy uniqueName="[Fact_Transacciones].[Ventas_Totales]" caption="Ventas_Totales" attribute="1" defaultMemberUniqueName="[Fact_Transacciones].[Ventas_Totales].[All]" allUniqueName="[Fact_Transacciones].[Ventas_Totales].[All]" dimensionUniqueName="[Fact_Transacciones]" displayFolder="" count="2" memberValueDatatype="5" unbalanced="0"/>
    <cacheHierarchy uniqueName="[Fact_Transacciones].[Costo_Productos]" caption="Costo_Productos" attribute="1" defaultMemberUniqueName="[Fact_Transacciones].[Costo_Productos].[All]" allUniqueName="[Fact_Transacciones].[Costo_Productos].[All]" dimensionUniqueName="[Fact_Transacciones]" displayFolder="" count="2" memberValueDatatype="5" unbalanced="0"/>
    <cacheHierarchy uniqueName="[Fact_Transacciones].[Beneficio]" caption="Beneficio" attribute="1" defaultMemberUniqueName="[Fact_Transacciones].[Beneficio].[All]" allUniqueName="[Fact_Transacciones].[Beneficio].[All]" dimensionUniqueName="[Fact_Transacciones]" displayFolder="" count="2" memberValueDatatype="5" unbalanced="0"/>
    <cacheHierarchy uniqueName="[Fact_Transacciones].[Margen]" caption="Margen" attribute="1" defaultMemberUniqueName="[Fact_Transacciones].[Margen].[All]" allUniqueName="[Fact_Transacciones].[Margen].[All]" dimensionUniqueName="[Fact_Transacciones]" displayFolder="" count="2" memberValueDatatype="5" unbalanced="0"/>
    <cacheHierarchy uniqueName="[Fact_Transacciones].[Fecha (mes)]" caption="Fecha (mes)" attribute="1" defaultMemberUniqueName="[Fact_Transacciones].[Fecha (mes)].[All]" allUniqueName="[Fact_Transacciones].[Fecha (mes)].[All]" dimensionUniqueName="[Fact_Transacciones]" displayFolder="" count="2" memberValueDatatype="130" unbalanced="0">
      <fieldsUsage count="2">
        <fieldUsage x="-1"/>
        <fieldUsage x="2"/>
      </fieldsUsage>
    </cacheHierarchy>
    <cacheHierarchy uniqueName="[Fact_Transacciones].[Fecha (índice de meses)]" caption="Fecha (índice de meses)" attribute="1" defaultMemberUniqueName="[Fact_Transacciones].[Fecha (índice de meses)].[All]" allUniqueName="[Fact_Transacciones].[Fecha (índice de meses)].[All]" dimensionUniqueName="[Fact_Transacciones]" displayFolder="" count="2" memberValueDatatype="20" unbalanced="0" hidden="1"/>
    <cacheHierarchy uniqueName="[Measures].[Ventas Totales]" caption="Ventas Totales" measure="1" displayFolder="" measureGroup="Fact_Transacciones" count="0" oneField="1">
      <fieldsUsage count="1">
        <fieldUsage x="1"/>
      </fieldsUsage>
    </cacheHierarchy>
    <cacheHierarchy uniqueName="[Measures].[Costos Totales]" caption="Costos Totales" measure="1" displayFolder="" measureGroup="Fact_Transacciones" count="0"/>
    <cacheHierarchy uniqueName="[Measures].[Beneficio Total]" caption="Beneficio Total" measure="1" displayFolder="" measureGroup="Fact_Transacciones" count="0"/>
    <cacheHierarchy uniqueName="[Measures].[Unidades Vendidas]" caption="Unidades Vendidas" measure="1" displayFolder="" measureGroup="Fact_Transacciones" count="0"/>
    <cacheHierarchy uniqueName="[Measures].[Margen %]" caption="Margen %" measure="1" displayFolder="" measureGroup="Fact_Transacciones" count="0"/>
    <cacheHierarchy uniqueName="[Measures].[Margen Optimizado]" caption="Margen Optimizado" measure="1" displayFolder="" measureGroup="Fact_Transaccione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Fact_Transacciones]" caption="__XL_Count Fact_Transacciones" measure="1" displayFolder="" measureGroup="Fact_Transacciones" count="0" hidden="1"/>
    <cacheHierarchy uniqueName="[Measures].[__No measures defined]" caption="__No measures defined" measure="1" displayFolder="" count="0" hidden="1"/>
    <cacheHierarchy uniqueName="[Measures].[Suma de Ventas_Totales]" caption="Suma de Ventas_Totales" measure="1" displayFolder="" measureGroup="Fact_Transacciones" count="0" hidden="1">
      <extLst>
        <ext xmlns:x15="http://schemas.microsoft.com/office/spreadsheetml/2010/11/main" uri="{B97F6D7D-B522-45F9-BDA1-12C45D357490}">
          <x15:cacheHierarchy aggregatedColumn="21"/>
        </ext>
      </extLst>
    </cacheHierarchy>
    <cacheHierarchy uniqueName="[Measures].[Suma de Beneficio]" caption="Suma de Beneficio" measure="1" displayFolder="" measureGroup="Fact_Transacciones" count="0" hidden="1">
      <extLst>
        <ext xmlns:x15="http://schemas.microsoft.com/office/spreadsheetml/2010/11/main" uri="{B97F6D7D-B522-45F9-BDA1-12C45D357490}">
          <x15:cacheHierarchy aggregatedColumn="23"/>
        </ext>
      </extLst>
    </cacheHierarchy>
    <cacheHierarchy uniqueName="[Measures].[Suma de Costo_Productos]" caption="Suma de Costo_Productos" measure="1" displayFolder="" measureGroup="Fact_Transacciones" count="0" hidden="1">
      <extLst>
        <ext xmlns:x15="http://schemas.microsoft.com/office/spreadsheetml/2010/11/main" uri="{B97F6D7D-B522-45F9-BDA1-12C45D357490}">
          <x15:cacheHierarchy aggregatedColumn="22"/>
        </ext>
      </extLst>
    </cacheHierarchy>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Transacciones" uniqueName="[Fact_Transacciones]" caption="Fact_Transacciones"/>
    <dimension measure="1" name="Measures" uniqueName="[Measures]" caption="Measures"/>
  </dimensions>
  <measureGroups count="4">
    <measureGroup name="Dim_Calendario" caption="Dim_Calendario"/>
    <measureGroup name="Dim_Clientes" caption="Dim_Clientes"/>
    <measureGroup name="Dim_Productos" caption="Dim_Productos"/>
    <measureGroup name="Fact_Transacciones" caption="Fact_Transaccion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a" refreshedDate="46280.536450694446" createdVersion="8" refreshedVersion="8" minRefreshableVersion="3" recordCount="0" supportSubquery="1" supportAdvancedDrill="1" xr:uid="{AA0CE2D9-4392-44F9-BADE-D112E563C6EE}">
  <cacheSource type="external" connectionId="9"/>
  <cacheFields count="2">
    <cacheField name="[Measures].[Ventas Totales]" caption="Ventas Totales" numFmtId="0" hierarchy="27" level="32767"/>
    <cacheField name="[Fact_Transacciones].[Fecha (mes)].[Fecha (mes)]" caption="Fecha (mes)" numFmtId="0" hierarchy="25" level="1">
      <sharedItems containsSemiMixedTypes="0" containsNonDate="0" containsString="0"/>
    </cacheField>
  </cacheFields>
  <cacheHierarchies count="41">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Mes]" caption="NumeroMes" attribute="1" defaultMemberUniqueName="[Dim_Calendario].[NumeroMes].[All]" allUniqueName="[Dim_Calendario].[NumeroMes].[All]" dimensionUniqueName="[Dim_Calendario]" displayFolder="" count="0" memberValueDatatype="20" unbalanced="0"/>
    <cacheHierarchy uniqueName="[Dim_Calendario].[NombreMes]" caption="NombreMes" attribute="1" defaultMemberUniqueName="[Dim_Calendario].[NombreMes].[All]" allUniqueName="[Dim_Calendario].[Nombre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0" memberValueDatatype="130" unbalanced="0"/>
    <cacheHierarchy uniqueName="[Dim_Calendario].[Dia]" caption="Dia" attribute="1" defaultMemberUniqueName="[Dim_Calendario].[Dia].[All]" allUniqueName="[Dim_Calendario].[Dia].[All]" dimensionUniqueName="[Dim_Calendario]" displayFolder="" count="0" memberValueDatatype="20" unbalanced="0"/>
    <cacheHierarchy uniqueName="[Dim_Calendario].[NombreDia]" caption="NombreDia" attribute="1" defaultMemberUniqueName="[Dim_Calendario].[NombreDia].[All]" allUniqueName="[Dim_Calendario].[NombreDia].[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Productos].[ID_Producto]" caption="ID_Producto" attribute="1" defaultMemberUniqueName="[Dim_Productos].[ID_Producto].[All]" allUniqueName="[Dim_Productos].[ID_Producto].[All]" dimensionUniqueName="[Dim_Productos]" displayFolder="" count="0" memberValueDatatype="130" unbalanced="0"/>
    <cacheHierarchy uniqueName="[Fact_Transacciones].[ID_Transaccion]" caption="ID_Transaccion" attribute="1" defaultMemberUniqueName="[Fact_Transacciones].[ID_Transaccion].[All]" allUniqueName="[Fact_Transacciones].[ID_Transaccion].[All]" dimensionUniqueName="[Fact_Transacciones]" displayFolder="" count="0" memberValueDatatype="130" unbalanced="0"/>
    <cacheHierarchy uniqueName="[Fact_Transacciones].[Fecha]" caption="Fecha" attribute="1" time="1" defaultMemberUniqueName="[Fact_Transacciones].[Fecha].[All]" allUniqueName="[Fact_Transacciones].[Fecha].[All]" dimensionUniqueName="[Fact_Transacciones]" displayFolder="" count="0" memberValueDatatype="7" unbalanced="0"/>
    <cacheHierarchy uniqueName="[Fact_Transacciones].[ID_Cliente]" caption="ID_Cliente" attribute="1" defaultMemberUniqueName="[Fact_Transacciones].[ID_Cliente].[All]" allUniqueName="[Fact_Transacciones].[ID_Cliente].[All]" dimensionUniqueName="[Fact_Transacciones]" displayFolder="" count="0" memberValueDatatype="130" unbalanced="0"/>
    <cacheHierarchy uniqueName="[Fact_Transacciones].[ID_Producto]" caption="ID_Producto" attribute="1" defaultMemberUniqueName="[Fact_Transacciones].[ID_Producto].[All]" allUniqueName="[Fact_Transacciones].[ID_Producto].[All]" dimensionUniqueName="[Fact_Transacciones]" displayFolder="" count="0" memberValueDatatype="130" unbalanced="0"/>
    <cacheHierarchy uniqueName="[Fact_Transacciones].[Cantidad]" caption="Cantidad" attribute="1" defaultMemberUniqueName="[Fact_Transacciones].[Cantidad].[All]" allUniqueName="[Fact_Transacciones].[Cantidad].[All]" dimensionUniqueName="[Fact_Transacciones]" displayFolder="" count="0" memberValueDatatype="20" unbalanced="0"/>
    <cacheHierarchy uniqueName="[Fact_Transacciones].[Precio_Unitario]" caption="Precio_Unitario" attribute="1" defaultMemberUniqueName="[Fact_Transacciones].[Precio_Unitario].[All]" allUniqueName="[Fact_Transacciones].[Precio_Unitario].[All]" dimensionUniqueName="[Fact_Transacciones]" displayFolder="" count="0" memberValueDatatype="5" unbalanced="0"/>
    <cacheHierarchy uniqueName="[Fact_Transacciones].[Costo_Unitario]" caption="Costo_Unitario" attribute="1" defaultMemberUniqueName="[Fact_Transacciones].[Costo_Unitario].[All]" allUniqueName="[Fact_Transacciones].[Costo_Unitario].[All]" dimensionUniqueName="[Fact_Transacciones]" displayFolder="" count="0" memberValueDatatype="5" unbalanced="0"/>
    <cacheHierarchy uniqueName="[Fact_Transacciones].[Canal]" caption="Canal" attribute="1" defaultMemberUniqueName="[Fact_Transacciones].[Canal].[All]" allUniqueName="[Fact_Transacciones].[Canal].[All]" dimensionUniqueName="[Fact_Transacciones]" displayFolder="" count="2" memberValueDatatype="130" unbalanced="0"/>
    <cacheHierarchy uniqueName="[Fact_Transacciones].[Region]" caption="Region" attribute="1" defaultMemberUniqueName="[Fact_Transacciones].[Region].[All]" allUniqueName="[Fact_Transacciones].[Region].[All]" dimensionUniqueName="[Fact_Transacciones]" displayFolder="" count="2" memberValueDatatype="130" unbalanced="0"/>
    <cacheHierarchy uniqueName="[Fact_Transacciones].[Costo_Envio]" caption="Costo_Envio" attribute="1" defaultMemberUniqueName="[Fact_Transacciones].[Costo_Envio].[All]" allUniqueName="[Fact_Transacciones].[Costo_Envio].[All]" dimensionUniqueName="[Fact_Transacciones]" displayFolder="" count="0" memberValueDatatype="5" unbalanced="0"/>
    <cacheHierarchy uniqueName="[Fact_Transacciones].[Tasa_Interes]" caption="Tasa_Interes" attribute="1" defaultMemberUniqueName="[Fact_Transacciones].[Tasa_Interes].[All]" allUniqueName="[Fact_Transacciones].[Tasa_Interes].[All]" dimensionUniqueName="[Fact_Transacciones]" displayFolder="" count="0" memberValueDatatype="5" unbalanced="0"/>
    <cacheHierarchy uniqueName="[Fact_Transacciones].[Estado]" caption="Estado" attribute="1" defaultMemberUniqueName="[Fact_Transacciones].[Estado].[All]" allUniqueName="[Fact_Transacciones].[Estado].[All]" dimensionUniqueName="[Fact_Transacciones]" displayFolder="" count="0" memberValueDatatype="130" unbalanced="0"/>
    <cacheHierarchy uniqueName="[Fact_Transacciones].[Ventas_Totales]" caption="Ventas_Totales" attribute="1" defaultMemberUniqueName="[Fact_Transacciones].[Ventas_Totales].[All]" allUniqueName="[Fact_Transacciones].[Ventas_Totales].[All]" dimensionUniqueName="[Fact_Transacciones]" displayFolder="" count="0" memberValueDatatype="5" unbalanced="0"/>
    <cacheHierarchy uniqueName="[Fact_Transacciones].[Costo_Productos]" caption="Costo_Productos" attribute="1" defaultMemberUniqueName="[Fact_Transacciones].[Costo_Productos].[All]" allUniqueName="[Fact_Transacciones].[Costo_Productos].[All]" dimensionUniqueName="[Fact_Transacciones]" displayFolder="" count="0" memberValueDatatype="5" unbalanced="0"/>
    <cacheHierarchy uniqueName="[Fact_Transacciones].[Beneficio]" caption="Beneficio" attribute="1" defaultMemberUniqueName="[Fact_Transacciones].[Beneficio].[All]" allUniqueName="[Fact_Transacciones].[Beneficio].[All]" dimensionUniqueName="[Fact_Transacciones]" displayFolder="" count="0" memberValueDatatype="5" unbalanced="0"/>
    <cacheHierarchy uniqueName="[Fact_Transacciones].[Margen]" caption="Margen" attribute="1" defaultMemberUniqueName="[Fact_Transacciones].[Margen].[All]" allUniqueName="[Fact_Transacciones].[Margen].[All]" dimensionUniqueName="[Fact_Transacciones]" displayFolder="" count="0" memberValueDatatype="5" unbalanced="0"/>
    <cacheHierarchy uniqueName="[Fact_Transacciones].[Fecha (mes)]" caption="Fecha (mes)" attribute="1" defaultMemberUniqueName="[Fact_Transacciones].[Fecha (mes)].[All]" allUniqueName="[Fact_Transacciones].[Fecha (mes)].[All]" dimensionUniqueName="[Fact_Transacciones]" displayFolder="" count="2" memberValueDatatype="130" unbalanced="0">
      <fieldsUsage count="2">
        <fieldUsage x="-1"/>
        <fieldUsage x="1"/>
      </fieldsUsage>
    </cacheHierarchy>
    <cacheHierarchy uniqueName="[Fact_Transacciones].[Fecha (índice de meses)]" caption="Fecha (índice de meses)" attribute="1" defaultMemberUniqueName="[Fact_Transacciones].[Fecha (índice de meses)].[All]" allUniqueName="[Fact_Transacciones].[Fecha (índice de meses)].[All]" dimensionUniqueName="[Fact_Transacciones]" displayFolder="" count="0" memberValueDatatype="20" unbalanced="0" hidden="1"/>
    <cacheHierarchy uniqueName="[Measures].[Ventas Totales]" caption="Ventas Totales" measure="1" displayFolder="" measureGroup="Fact_Transacciones" count="0" oneField="1">
      <fieldsUsage count="1">
        <fieldUsage x="0"/>
      </fieldsUsage>
    </cacheHierarchy>
    <cacheHierarchy uniqueName="[Measures].[Costos Totales]" caption="Costos Totales" measure="1" displayFolder="" measureGroup="Fact_Transacciones" count="0"/>
    <cacheHierarchy uniqueName="[Measures].[Beneficio Total]" caption="Beneficio Total" measure="1" displayFolder="" measureGroup="Fact_Transacciones" count="0"/>
    <cacheHierarchy uniqueName="[Measures].[Unidades Vendidas]" caption="Unidades Vendidas" measure="1" displayFolder="" measureGroup="Fact_Transacciones" count="0"/>
    <cacheHierarchy uniqueName="[Measures].[Margen %]" caption="Margen %" measure="1" displayFolder="" measureGroup="Fact_Transacciones" count="0"/>
    <cacheHierarchy uniqueName="[Measures].[Margen Optimizado]" caption="Margen Optimizado" measure="1" displayFolder="" measureGroup="Fact_Transaccione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Fact_Transacciones]" caption="__XL_Count Fact_Transacciones" measure="1" displayFolder="" measureGroup="Fact_Transacciones" count="0" hidden="1"/>
    <cacheHierarchy uniqueName="[Measures].[__No measures defined]" caption="__No measures defined" measure="1" displayFolder="" count="0" hidden="1"/>
    <cacheHierarchy uniqueName="[Measures].[Suma de Ventas_Totales]" caption="Suma de Ventas_Totales" measure="1" displayFolder="" measureGroup="Fact_Transacciones" count="0" hidden="1">
      <extLst>
        <ext xmlns:x15="http://schemas.microsoft.com/office/spreadsheetml/2010/11/main" uri="{B97F6D7D-B522-45F9-BDA1-12C45D357490}">
          <x15:cacheHierarchy aggregatedColumn="21"/>
        </ext>
      </extLst>
    </cacheHierarchy>
    <cacheHierarchy uniqueName="[Measures].[Suma de Beneficio]" caption="Suma de Beneficio" measure="1" displayFolder="" measureGroup="Fact_Transacciones" count="0" hidden="1">
      <extLst>
        <ext xmlns:x15="http://schemas.microsoft.com/office/spreadsheetml/2010/11/main" uri="{B97F6D7D-B522-45F9-BDA1-12C45D357490}">
          <x15:cacheHierarchy aggregatedColumn="23"/>
        </ext>
      </extLst>
    </cacheHierarchy>
    <cacheHierarchy uniqueName="[Measures].[Suma de Costo_Productos]" caption="Suma de Costo_Productos" measure="1" displayFolder="" measureGroup="Fact_Transacciones" count="0" hidden="1">
      <extLst>
        <ext xmlns:x15="http://schemas.microsoft.com/office/spreadsheetml/2010/11/main" uri="{B97F6D7D-B522-45F9-BDA1-12C45D357490}">
          <x15:cacheHierarchy aggregatedColumn="22"/>
        </ext>
      </extLst>
    </cacheHierarchy>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Transacciones" uniqueName="[Fact_Transacciones]" caption="Fact_Transacciones"/>
    <dimension measure="1" name="Measures" uniqueName="[Measures]" caption="Measures"/>
  </dimensions>
  <measureGroups count="4">
    <measureGroup name="Dim_Calendario" caption="Dim_Calendario"/>
    <measureGroup name="Dim_Clientes" caption="Dim_Clientes"/>
    <measureGroup name="Dim_Productos" caption="Dim_Productos"/>
    <measureGroup name="Fact_Transacciones" caption="Fact_Transaccion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a" refreshedDate="46280.536451157408" createdVersion="8" refreshedVersion="8" minRefreshableVersion="3" recordCount="0" supportSubquery="1" supportAdvancedDrill="1" xr:uid="{715D0BD8-3633-467C-B994-4F32605BB8EC}">
  <cacheSource type="external" connectionId="9"/>
  <cacheFields count="2">
    <cacheField name="[Measures].[Beneficio Total]" caption="Beneficio Total" numFmtId="0" hierarchy="29" level="32767"/>
    <cacheField name="[Fact_Transacciones].[Fecha (mes)].[Fecha (mes)]" caption="Fecha (mes)" numFmtId="0" hierarchy="25" level="1">
      <sharedItems containsSemiMixedTypes="0" containsNonDate="0" containsString="0"/>
    </cacheField>
  </cacheFields>
  <cacheHierarchies count="41">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Mes]" caption="NumeroMes" attribute="1" defaultMemberUniqueName="[Dim_Calendario].[NumeroMes].[All]" allUniqueName="[Dim_Calendario].[NumeroMes].[All]" dimensionUniqueName="[Dim_Calendario]" displayFolder="" count="0" memberValueDatatype="20" unbalanced="0"/>
    <cacheHierarchy uniqueName="[Dim_Calendario].[NombreMes]" caption="NombreMes" attribute="1" defaultMemberUniqueName="[Dim_Calendario].[NombreMes].[All]" allUniqueName="[Dim_Calendario].[Nombre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0" memberValueDatatype="130" unbalanced="0"/>
    <cacheHierarchy uniqueName="[Dim_Calendario].[Dia]" caption="Dia" attribute="1" defaultMemberUniqueName="[Dim_Calendario].[Dia].[All]" allUniqueName="[Dim_Calendario].[Dia].[All]" dimensionUniqueName="[Dim_Calendario]" displayFolder="" count="0" memberValueDatatype="20" unbalanced="0"/>
    <cacheHierarchy uniqueName="[Dim_Calendario].[NombreDia]" caption="NombreDia" attribute="1" defaultMemberUniqueName="[Dim_Calendario].[NombreDia].[All]" allUniqueName="[Dim_Calendario].[NombreDia].[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Productos].[ID_Producto]" caption="ID_Producto" attribute="1" defaultMemberUniqueName="[Dim_Productos].[ID_Producto].[All]" allUniqueName="[Dim_Productos].[ID_Producto].[All]" dimensionUniqueName="[Dim_Productos]" displayFolder="" count="0" memberValueDatatype="130" unbalanced="0"/>
    <cacheHierarchy uniqueName="[Fact_Transacciones].[ID_Transaccion]" caption="ID_Transaccion" attribute="1" defaultMemberUniqueName="[Fact_Transacciones].[ID_Transaccion].[All]" allUniqueName="[Fact_Transacciones].[ID_Transaccion].[All]" dimensionUniqueName="[Fact_Transacciones]" displayFolder="" count="0" memberValueDatatype="130" unbalanced="0"/>
    <cacheHierarchy uniqueName="[Fact_Transacciones].[Fecha]" caption="Fecha" attribute="1" time="1" defaultMemberUniqueName="[Fact_Transacciones].[Fecha].[All]" allUniqueName="[Fact_Transacciones].[Fecha].[All]" dimensionUniqueName="[Fact_Transacciones]" displayFolder="" count="0" memberValueDatatype="7" unbalanced="0"/>
    <cacheHierarchy uniqueName="[Fact_Transacciones].[ID_Cliente]" caption="ID_Cliente" attribute="1" defaultMemberUniqueName="[Fact_Transacciones].[ID_Cliente].[All]" allUniqueName="[Fact_Transacciones].[ID_Cliente].[All]" dimensionUniqueName="[Fact_Transacciones]" displayFolder="" count="0" memberValueDatatype="130" unbalanced="0"/>
    <cacheHierarchy uniqueName="[Fact_Transacciones].[ID_Producto]" caption="ID_Producto" attribute="1" defaultMemberUniqueName="[Fact_Transacciones].[ID_Producto].[All]" allUniqueName="[Fact_Transacciones].[ID_Producto].[All]" dimensionUniqueName="[Fact_Transacciones]" displayFolder="" count="0" memberValueDatatype="130" unbalanced="0"/>
    <cacheHierarchy uniqueName="[Fact_Transacciones].[Cantidad]" caption="Cantidad" attribute="1" defaultMemberUniqueName="[Fact_Transacciones].[Cantidad].[All]" allUniqueName="[Fact_Transacciones].[Cantidad].[All]" dimensionUniqueName="[Fact_Transacciones]" displayFolder="" count="0" memberValueDatatype="20" unbalanced="0"/>
    <cacheHierarchy uniqueName="[Fact_Transacciones].[Precio_Unitario]" caption="Precio_Unitario" attribute="1" defaultMemberUniqueName="[Fact_Transacciones].[Precio_Unitario].[All]" allUniqueName="[Fact_Transacciones].[Precio_Unitario].[All]" dimensionUniqueName="[Fact_Transacciones]" displayFolder="" count="0" memberValueDatatype="5" unbalanced="0"/>
    <cacheHierarchy uniqueName="[Fact_Transacciones].[Costo_Unitario]" caption="Costo_Unitario" attribute="1" defaultMemberUniqueName="[Fact_Transacciones].[Costo_Unitario].[All]" allUniqueName="[Fact_Transacciones].[Costo_Unitario].[All]" dimensionUniqueName="[Fact_Transacciones]" displayFolder="" count="0" memberValueDatatype="5" unbalanced="0"/>
    <cacheHierarchy uniqueName="[Fact_Transacciones].[Canal]" caption="Canal" attribute="1" defaultMemberUniqueName="[Fact_Transacciones].[Canal].[All]" allUniqueName="[Fact_Transacciones].[Canal].[All]" dimensionUniqueName="[Fact_Transacciones]" displayFolder="" count="2" memberValueDatatype="130" unbalanced="0"/>
    <cacheHierarchy uniqueName="[Fact_Transacciones].[Region]" caption="Region" attribute="1" defaultMemberUniqueName="[Fact_Transacciones].[Region].[All]" allUniqueName="[Fact_Transacciones].[Region].[All]" dimensionUniqueName="[Fact_Transacciones]" displayFolder="" count="2" memberValueDatatype="130" unbalanced="0"/>
    <cacheHierarchy uniqueName="[Fact_Transacciones].[Costo_Envio]" caption="Costo_Envio" attribute="1" defaultMemberUniqueName="[Fact_Transacciones].[Costo_Envio].[All]" allUniqueName="[Fact_Transacciones].[Costo_Envio].[All]" dimensionUniqueName="[Fact_Transacciones]" displayFolder="" count="0" memberValueDatatype="5" unbalanced="0"/>
    <cacheHierarchy uniqueName="[Fact_Transacciones].[Tasa_Interes]" caption="Tasa_Interes" attribute="1" defaultMemberUniqueName="[Fact_Transacciones].[Tasa_Interes].[All]" allUniqueName="[Fact_Transacciones].[Tasa_Interes].[All]" dimensionUniqueName="[Fact_Transacciones]" displayFolder="" count="0" memberValueDatatype="5" unbalanced="0"/>
    <cacheHierarchy uniqueName="[Fact_Transacciones].[Estado]" caption="Estado" attribute="1" defaultMemberUniqueName="[Fact_Transacciones].[Estado].[All]" allUniqueName="[Fact_Transacciones].[Estado].[All]" dimensionUniqueName="[Fact_Transacciones]" displayFolder="" count="0" memberValueDatatype="130" unbalanced="0"/>
    <cacheHierarchy uniqueName="[Fact_Transacciones].[Ventas_Totales]" caption="Ventas_Totales" attribute="1" defaultMemberUniqueName="[Fact_Transacciones].[Ventas_Totales].[All]" allUniqueName="[Fact_Transacciones].[Ventas_Totales].[All]" dimensionUniqueName="[Fact_Transacciones]" displayFolder="" count="0" memberValueDatatype="5" unbalanced="0"/>
    <cacheHierarchy uniqueName="[Fact_Transacciones].[Costo_Productos]" caption="Costo_Productos" attribute="1" defaultMemberUniqueName="[Fact_Transacciones].[Costo_Productos].[All]" allUniqueName="[Fact_Transacciones].[Costo_Productos].[All]" dimensionUniqueName="[Fact_Transacciones]" displayFolder="" count="0" memberValueDatatype="5" unbalanced="0"/>
    <cacheHierarchy uniqueName="[Fact_Transacciones].[Beneficio]" caption="Beneficio" attribute="1" defaultMemberUniqueName="[Fact_Transacciones].[Beneficio].[All]" allUniqueName="[Fact_Transacciones].[Beneficio].[All]" dimensionUniqueName="[Fact_Transacciones]" displayFolder="" count="0" memberValueDatatype="5" unbalanced="0"/>
    <cacheHierarchy uniqueName="[Fact_Transacciones].[Margen]" caption="Margen" attribute="1" defaultMemberUniqueName="[Fact_Transacciones].[Margen].[All]" allUniqueName="[Fact_Transacciones].[Margen].[All]" dimensionUniqueName="[Fact_Transacciones]" displayFolder="" count="0" memberValueDatatype="5" unbalanced="0"/>
    <cacheHierarchy uniqueName="[Fact_Transacciones].[Fecha (mes)]" caption="Fecha (mes)" attribute="1" defaultMemberUniqueName="[Fact_Transacciones].[Fecha (mes)].[All]" allUniqueName="[Fact_Transacciones].[Fecha (mes)].[All]" dimensionUniqueName="[Fact_Transacciones]" displayFolder="" count="2" memberValueDatatype="130" unbalanced="0">
      <fieldsUsage count="2">
        <fieldUsage x="-1"/>
        <fieldUsage x="1"/>
      </fieldsUsage>
    </cacheHierarchy>
    <cacheHierarchy uniqueName="[Fact_Transacciones].[Fecha (índice de meses)]" caption="Fecha (índice de meses)" attribute="1" defaultMemberUniqueName="[Fact_Transacciones].[Fecha (índice de meses)].[All]" allUniqueName="[Fact_Transacciones].[Fecha (índice de meses)].[All]" dimensionUniqueName="[Fact_Transacciones]" displayFolder="" count="0" memberValueDatatype="20" unbalanced="0" hidden="1"/>
    <cacheHierarchy uniqueName="[Measures].[Ventas Totales]" caption="Ventas Totales" measure="1" displayFolder="" measureGroup="Fact_Transacciones" count="0"/>
    <cacheHierarchy uniqueName="[Measures].[Costos Totales]" caption="Costos Totales" measure="1" displayFolder="" measureGroup="Fact_Transacciones" count="0"/>
    <cacheHierarchy uniqueName="[Measures].[Beneficio Total]" caption="Beneficio Total" measure="1" displayFolder="" measureGroup="Fact_Transacciones" count="0" oneField="1">
      <fieldsUsage count="1">
        <fieldUsage x="0"/>
      </fieldsUsage>
    </cacheHierarchy>
    <cacheHierarchy uniqueName="[Measures].[Unidades Vendidas]" caption="Unidades Vendidas" measure="1" displayFolder="" measureGroup="Fact_Transacciones" count="0"/>
    <cacheHierarchy uniqueName="[Measures].[Margen %]" caption="Margen %" measure="1" displayFolder="" measureGroup="Fact_Transacciones" count="0"/>
    <cacheHierarchy uniqueName="[Measures].[Margen Optimizado]" caption="Margen Optimizado" measure="1" displayFolder="" measureGroup="Fact_Transaccione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Fact_Transacciones]" caption="__XL_Count Fact_Transacciones" measure="1" displayFolder="" measureGroup="Fact_Transacciones" count="0" hidden="1"/>
    <cacheHierarchy uniqueName="[Measures].[__No measures defined]" caption="__No measures defined" measure="1" displayFolder="" count="0" hidden="1"/>
    <cacheHierarchy uniqueName="[Measures].[Suma de Ventas_Totales]" caption="Suma de Ventas_Totales" measure="1" displayFolder="" measureGroup="Fact_Transacciones" count="0" hidden="1">
      <extLst>
        <ext xmlns:x15="http://schemas.microsoft.com/office/spreadsheetml/2010/11/main" uri="{B97F6D7D-B522-45F9-BDA1-12C45D357490}">
          <x15:cacheHierarchy aggregatedColumn="21"/>
        </ext>
      </extLst>
    </cacheHierarchy>
    <cacheHierarchy uniqueName="[Measures].[Suma de Beneficio]" caption="Suma de Beneficio" measure="1" displayFolder="" measureGroup="Fact_Transacciones" count="0" hidden="1">
      <extLst>
        <ext xmlns:x15="http://schemas.microsoft.com/office/spreadsheetml/2010/11/main" uri="{B97F6D7D-B522-45F9-BDA1-12C45D357490}">
          <x15:cacheHierarchy aggregatedColumn="23"/>
        </ext>
      </extLst>
    </cacheHierarchy>
    <cacheHierarchy uniqueName="[Measures].[Suma de Costo_Productos]" caption="Suma de Costo_Productos" measure="1" displayFolder="" measureGroup="Fact_Transacciones" count="0" hidden="1">
      <extLst>
        <ext xmlns:x15="http://schemas.microsoft.com/office/spreadsheetml/2010/11/main" uri="{B97F6D7D-B522-45F9-BDA1-12C45D357490}">
          <x15:cacheHierarchy aggregatedColumn="22"/>
        </ext>
      </extLst>
    </cacheHierarchy>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Transacciones" uniqueName="[Fact_Transacciones]" caption="Fact_Transacciones"/>
    <dimension measure="1" name="Measures" uniqueName="[Measures]" caption="Measures"/>
  </dimensions>
  <measureGroups count="4">
    <measureGroup name="Dim_Calendario" caption="Dim_Calendario"/>
    <measureGroup name="Dim_Clientes" caption="Dim_Clientes"/>
    <measureGroup name="Dim_Productos" caption="Dim_Productos"/>
    <measureGroup name="Fact_Transacciones" caption="Fact_Transaccion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a" refreshedDate="46280.53645162037" createdVersion="8" refreshedVersion="8" minRefreshableVersion="3" recordCount="0" supportSubquery="1" supportAdvancedDrill="1" xr:uid="{8676C94F-0E0A-4225-805B-CCFF61D20E54}">
  <cacheSource type="external" connectionId="9"/>
  <cacheFields count="2">
    <cacheField name="[Measures].[Margen %]" caption="Margen %" numFmtId="0" hierarchy="31" level="32767"/>
    <cacheField name="[Fact_Transacciones].[Fecha (mes)].[Fecha (mes)]" caption="Fecha (mes)" numFmtId="0" hierarchy="25" level="1">
      <sharedItems containsSemiMixedTypes="0" containsNonDate="0" containsString="0"/>
    </cacheField>
  </cacheFields>
  <cacheHierarchies count="41">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Mes]" caption="NumeroMes" attribute="1" defaultMemberUniqueName="[Dim_Calendario].[NumeroMes].[All]" allUniqueName="[Dim_Calendario].[NumeroMes].[All]" dimensionUniqueName="[Dim_Calendario]" displayFolder="" count="0" memberValueDatatype="20" unbalanced="0"/>
    <cacheHierarchy uniqueName="[Dim_Calendario].[NombreMes]" caption="NombreMes" attribute="1" defaultMemberUniqueName="[Dim_Calendario].[NombreMes].[All]" allUniqueName="[Dim_Calendario].[Nombre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0" memberValueDatatype="130" unbalanced="0"/>
    <cacheHierarchy uniqueName="[Dim_Calendario].[Dia]" caption="Dia" attribute="1" defaultMemberUniqueName="[Dim_Calendario].[Dia].[All]" allUniqueName="[Dim_Calendario].[Dia].[All]" dimensionUniqueName="[Dim_Calendario]" displayFolder="" count="0" memberValueDatatype="20" unbalanced="0"/>
    <cacheHierarchy uniqueName="[Dim_Calendario].[NombreDia]" caption="NombreDia" attribute="1" defaultMemberUniqueName="[Dim_Calendario].[NombreDia].[All]" allUniqueName="[Dim_Calendario].[NombreDia].[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Productos].[ID_Producto]" caption="ID_Producto" attribute="1" defaultMemberUniqueName="[Dim_Productos].[ID_Producto].[All]" allUniqueName="[Dim_Productos].[ID_Producto].[All]" dimensionUniqueName="[Dim_Productos]" displayFolder="" count="0" memberValueDatatype="130" unbalanced="0"/>
    <cacheHierarchy uniqueName="[Fact_Transacciones].[ID_Transaccion]" caption="ID_Transaccion" attribute="1" defaultMemberUniqueName="[Fact_Transacciones].[ID_Transaccion].[All]" allUniqueName="[Fact_Transacciones].[ID_Transaccion].[All]" dimensionUniqueName="[Fact_Transacciones]" displayFolder="" count="0" memberValueDatatype="130" unbalanced="0"/>
    <cacheHierarchy uniqueName="[Fact_Transacciones].[Fecha]" caption="Fecha" attribute="1" time="1" defaultMemberUniqueName="[Fact_Transacciones].[Fecha].[All]" allUniqueName="[Fact_Transacciones].[Fecha].[All]" dimensionUniqueName="[Fact_Transacciones]" displayFolder="" count="0" memberValueDatatype="7" unbalanced="0"/>
    <cacheHierarchy uniqueName="[Fact_Transacciones].[ID_Cliente]" caption="ID_Cliente" attribute="1" defaultMemberUniqueName="[Fact_Transacciones].[ID_Cliente].[All]" allUniqueName="[Fact_Transacciones].[ID_Cliente].[All]" dimensionUniqueName="[Fact_Transacciones]" displayFolder="" count="0" memberValueDatatype="130" unbalanced="0"/>
    <cacheHierarchy uniqueName="[Fact_Transacciones].[ID_Producto]" caption="ID_Producto" attribute="1" defaultMemberUniqueName="[Fact_Transacciones].[ID_Producto].[All]" allUniqueName="[Fact_Transacciones].[ID_Producto].[All]" dimensionUniqueName="[Fact_Transacciones]" displayFolder="" count="0" memberValueDatatype="130" unbalanced="0"/>
    <cacheHierarchy uniqueName="[Fact_Transacciones].[Cantidad]" caption="Cantidad" attribute="1" defaultMemberUniqueName="[Fact_Transacciones].[Cantidad].[All]" allUniqueName="[Fact_Transacciones].[Cantidad].[All]" dimensionUniqueName="[Fact_Transacciones]" displayFolder="" count="0" memberValueDatatype="20" unbalanced="0"/>
    <cacheHierarchy uniqueName="[Fact_Transacciones].[Precio_Unitario]" caption="Precio_Unitario" attribute="1" defaultMemberUniqueName="[Fact_Transacciones].[Precio_Unitario].[All]" allUniqueName="[Fact_Transacciones].[Precio_Unitario].[All]" dimensionUniqueName="[Fact_Transacciones]" displayFolder="" count="0" memberValueDatatype="5" unbalanced="0"/>
    <cacheHierarchy uniqueName="[Fact_Transacciones].[Costo_Unitario]" caption="Costo_Unitario" attribute="1" defaultMemberUniqueName="[Fact_Transacciones].[Costo_Unitario].[All]" allUniqueName="[Fact_Transacciones].[Costo_Unitario].[All]" dimensionUniqueName="[Fact_Transacciones]" displayFolder="" count="0" memberValueDatatype="5" unbalanced="0"/>
    <cacheHierarchy uniqueName="[Fact_Transacciones].[Canal]" caption="Canal" attribute="1" defaultMemberUniqueName="[Fact_Transacciones].[Canal].[All]" allUniqueName="[Fact_Transacciones].[Canal].[All]" dimensionUniqueName="[Fact_Transacciones]" displayFolder="" count="2" memberValueDatatype="130" unbalanced="0"/>
    <cacheHierarchy uniqueName="[Fact_Transacciones].[Region]" caption="Region" attribute="1" defaultMemberUniqueName="[Fact_Transacciones].[Region].[All]" allUniqueName="[Fact_Transacciones].[Region].[All]" dimensionUniqueName="[Fact_Transacciones]" displayFolder="" count="2" memberValueDatatype="130" unbalanced="0"/>
    <cacheHierarchy uniqueName="[Fact_Transacciones].[Costo_Envio]" caption="Costo_Envio" attribute="1" defaultMemberUniqueName="[Fact_Transacciones].[Costo_Envio].[All]" allUniqueName="[Fact_Transacciones].[Costo_Envio].[All]" dimensionUniqueName="[Fact_Transacciones]" displayFolder="" count="0" memberValueDatatype="5" unbalanced="0"/>
    <cacheHierarchy uniqueName="[Fact_Transacciones].[Tasa_Interes]" caption="Tasa_Interes" attribute="1" defaultMemberUniqueName="[Fact_Transacciones].[Tasa_Interes].[All]" allUniqueName="[Fact_Transacciones].[Tasa_Interes].[All]" dimensionUniqueName="[Fact_Transacciones]" displayFolder="" count="0" memberValueDatatype="5" unbalanced="0"/>
    <cacheHierarchy uniqueName="[Fact_Transacciones].[Estado]" caption="Estado" attribute="1" defaultMemberUniqueName="[Fact_Transacciones].[Estado].[All]" allUniqueName="[Fact_Transacciones].[Estado].[All]" dimensionUniqueName="[Fact_Transacciones]" displayFolder="" count="0" memberValueDatatype="130" unbalanced="0"/>
    <cacheHierarchy uniqueName="[Fact_Transacciones].[Ventas_Totales]" caption="Ventas_Totales" attribute="1" defaultMemberUniqueName="[Fact_Transacciones].[Ventas_Totales].[All]" allUniqueName="[Fact_Transacciones].[Ventas_Totales].[All]" dimensionUniqueName="[Fact_Transacciones]" displayFolder="" count="0" memberValueDatatype="5" unbalanced="0"/>
    <cacheHierarchy uniqueName="[Fact_Transacciones].[Costo_Productos]" caption="Costo_Productos" attribute="1" defaultMemberUniqueName="[Fact_Transacciones].[Costo_Productos].[All]" allUniqueName="[Fact_Transacciones].[Costo_Productos].[All]" dimensionUniqueName="[Fact_Transacciones]" displayFolder="" count="0" memberValueDatatype="5" unbalanced="0"/>
    <cacheHierarchy uniqueName="[Fact_Transacciones].[Beneficio]" caption="Beneficio" attribute="1" defaultMemberUniqueName="[Fact_Transacciones].[Beneficio].[All]" allUniqueName="[Fact_Transacciones].[Beneficio].[All]" dimensionUniqueName="[Fact_Transacciones]" displayFolder="" count="0" memberValueDatatype="5" unbalanced="0"/>
    <cacheHierarchy uniqueName="[Fact_Transacciones].[Margen]" caption="Margen" attribute="1" defaultMemberUniqueName="[Fact_Transacciones].[Margen].[All]" allUniqueName="[Fact_Transacciones].[Margen].[All]" dimensionUniqueName="[Fact_Transacciones]" displayFolder="" count="0" memberValueDatatype="5" unbalanced="0"/>
    <cacheHierarchy uniqueName="[Fact_Transacciones].[Fecha (mes)]" caption="Fecha (mes)" attribute="1" defaultMemberUniqueName="[Fact_Transacciones].[Fecha (mes)].[All]" allUniqueName="[Fact_Transacciones].[Fecha (mes)].[All]" dimensionUniqueName="[Fact_Transacciones]" displayFolder="" count="2" memberValueDatatype="130" unbalanced="0">
      <fieldsUsage count="2">
        <fieldUsage x="-1"/>
        <fieldUsage x="1"/>
      </fieldsUsage>
    </cacheHierarchy>
    <cacheHierarchy uniqueName="[Fact_Transacciones].[Fecha (índice de meses)]" caption="Fecha (índice de meses)" attribute="1" defaultMemberUniqueName="[Fact_Transacciones].[Fecha (índice de meses)].[All]" allUniqueName="[Fact_Transacciones].[Fecha (índice de meses)].[All]" dimensionUniqueName="[Fact_Transacciones]" displayFolder="" count="0" memberValueDatatype="20" unbalanced="0" hidden="1"/>
    <cacheHierarchy uniqueName="[Measures].[Ventas Totales]" caption="Ventas Totales" measure="1" displayFolder="" measureGroup="Fact_Transacciones" count="0"/>
    <cacheHierarchy uniqueName="[Measures].[Costos Totales]" caption="Costos Totales" measure="1" displayFolder="" measureGroup="Fact_Transacciones" count="0"/>
    <cacheHierarchy uniqueName="[Measures].[Beneficio Total]" caption="Beneficio Total" measure="1" displayFolder="" measureGroup="Fact_Transacciones" count="0"/>
    <cacheHierarchy uniqueName="[Measures].[Unidades Vendidas]" caption="Unidades Vendidas" measure="1" displayFolder="" measureGroup="Fact_Transacciones" count="0"/>
    <cacheHierarchy uniqueName="[Measures].[Margen %]" caption="Margen %" measure="1" displayFolder="" measureGroup="Fact_Transacciones" count="0" oneField="1">
      <fieldsUsage count="1">
        <fieldUsage x="0"/>
      </fieldsUsage>
    </cacheHierarchy>
    <cacheHierarchy uniqueName="[Measures].[Margen Optimizado]" caption="Margen Optimizado" measure="1" displayFolder="" measureGroup="Fact_Transaccione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Fact_Transacciones]" caption="__XL_Count Fact_Transacciones" measure="1" displayFolder="" measureGroup="Fact_Transacciones" count="0" hidden="1"/>
    <cacheHierarchy uniqueName="[Measures].[__No measures defined]" caption="__No measures defined" measure="1" displayFolder="" count="0" hidden="1"/>
    <cacheHierarchy uniqueName="[Measures].[Suma de Ventas_Totales]" caption="Suma de Ventas_Totales" measure="1" displayFolder="" measureGroup="Fact_Transacciones" count="0" hidden="1">
      <extLst>
        <ext xmlns:x15="http://schemas.microsoft.com/office/spreadsheetml/2010/11/main" uri="{B97F6D7D-B522-45F9-BDA1-12C45D357490}">
          <x15:cacheHierarchy aggregatedColumn="21"/>
        </ext>
      </extLst>
    </cacheHierarchy>
    <cacheHierarchy uniqueName="[Measures].[Suma de Beneficio]" caption="Suma de Beneficio" measure="1" displayFolder="" measureGroup="Fact_Transacciones" count="0" hidden="1">
      <extLst>
        <ext xmlns:x15="http://schemas.microsoft.com/office/spreadsheetml/2010/11/main" uri="{B97F6D7D-B522-45F9-BDA1-12C45D357490}">
          <x15:cacheHierarchy aggregatedColumn="23"/>
        </ext>
      </extLst>
    </cacheHierarchy>
    <cacheHierarchy uniqueName="[Measures].[Suma de Costo_Productos]" caption="Suma de Costo_Productos" measure="1" displayFolder="" measureGroup="Fact_Transacciones" count="0" hidden="1">
      <extLst>
        <ext xmlns:x15="http://schemas.microsoft.com/office/spreadsheetml/2010/11/main" uri="{B97F6D7D-B522-45F9-BDA1-12C45D357490}">
          <x15:cacheHierarchy aggregatedColumn="22"/>
        </ext>
      </extLst>
    </cacheHierarchy>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Transacciones" uniqueName="[Fact_Transacciones]" caption="Fact_Transacciones"/>
    <dimension measure="1" name="Measures" uniqueName="[Measures]" caption="Measures"/>
  </dimensions>
  <measureGroups count="4">
    <measureGroup name="Dim_Calendario" caption="Dim_Calendario"/>
    <measureGroup name="Dim_Clientes" caption="Dim_Clientes"/>
    <measureGroup name="Dim_Productos" caption="Dim_Productos"/>
    <measureGroup name="Fact_Transacciones" caption="Fact_Transaccion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a" refreshedDate="46280.536451967593" createdVersion="8" refreshedVersion="8" minRefreshableVersion="3" recordCount="0" supportSubquery="1" supportAdvancedDrill="1" xr:uid="{8751458F-0A28-402D-8390-87E9A4E37A09}">
  <cacheSource type="external" connectionId="9"/>
  <cacheFields count="2">
    <cacheField name="[Measures].[Unidades Vendidas]" caption="Unidades Vendidas" numFmtId="0" hierarchy="30" level="32767"/>
    <cacheField name="[Fact_Transacciones].[Fecha (mes)].[Fecha (mes)]" caption="Fecha (mes)" numFmtId="0" hierarchy="25" level="1">
      <sharedItems containsSemiMixedTypes="0" containsNonDate="0" containsString="0"/>
    </cacheField>
  </cacheFields>
  <cacheHierarchies count="41">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Mes]" caption="NumeroMes" attribute="1" defaultMemberUniqueName="[Dim_Calendario].[NumeroMes].[All]" allUniqueName="[Dim_Calendario].[NumeroMes].[All]" dimensionUniqueName="[Dim_Calendario]" displayFolder="" count="0" memberValueDatatype="20" unbalanced="0"/>
    <cacheHierarchy uniqueName="[Dim_Calendario].[NombreMes]" caption="NombreMes" attribute="1" defaultMemberUniqueName="[Dim_Calendario].[NombreMes].[All]" allUniqueName="[Dim_Calendario].[Nombre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0" memberValueDatatype="130" unbalanced="0"/>
    <cacheHierarchy uniqueName="[Dim_Calendario].[Dia]" caption="Dia" attribute="1" defaultMemberUniqueName="[Dim_Calendario].[Dia].[All]" allUniqueName="[Dim_Calendario].[Dia].[All]" dimensionUniqueName="[Dim_Calendario]" displayFolder="" count="0" memberValueDatatype="20" unbalanced="0"/>
    <cacheHierarchy uniqueName="[Dim_Calendario].[NombreDia]" caption="NombreDia" attribute="1" defaultMemberUniqueName="[Dim_Calendario].[NombreDia].[All]" allUniqueName="[Dim_Calendario].[NombreDia].[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Productos].[ID_Producto]" caption="ID_Producto" attribute="1" defaultMemberUniqueName="[Dim_Productos].[ID_Producto].[All]" allUniqueName="[Dim_Productos].[ID_Producto].[All]" dimensionUniqueName="[Dim_Productos]" displayFolder="" count="0" memberValueDatatype="130" unbalanced="0"/>
    <cacheHierarchy uniqueName="[Fact_Transacciones].[ID_Transaccion]" caption="ID_Transaccion" attribute="1" defaultMemberUniqueName="[Fact_Transacciones].[ID_Transaccion].[All]" allUniqueName="[Fact_Transacciones].[ID_Transaccion].[All]" dimensionUniqueName="[Fact_Transacciones]" displayFolder="" count="0" memberValueDatatype="130" unbalanced="0"/>
    <cacheHierarchy uniqueName="[Fact_Transacciones].[Fecha]" caption="Fecha" attribute="1" time="1" defaultMemberUniqueName="[Fact_Transacciones].[Fecha].[All]" allUniqueName="[Fact_Transacciones].[Fecha].[All]" dimensionUniqueName="[Fact_Transacciones]" displayFolder="" count="0" memberValueDatatype="7" unbalanced="0"/>
    <cacheHierarchy uniqueName="[Fact_Transacciones].[ID_Cliente]" caption="ID_Cliente" attribute="1" defaultMemberUniqueName="[Fact_Transacciones].[ID_Cliente].[All]" allUniqueName="[Fact_Transacciones].[ID_Cliente].[All]" dimensionUniqueName="[Fact_Transacciones]" displayFolder="" count="0" memberValueDatatype="130" unbalanced="0"/>
    <cacheHierarchy uniqueName="[Fact_Transacciones].[ID_Producto]" caption="ID_Producto" attribute="1" defaultMemberUniqueName="[Fact_Transacciones].[ID_Producto].[All]" allUniqueName="[Fact_Transacciones].[ID_Producto].[All]" dimensionUniqueName="[Fact_Transacciones]" displayFolder="" count="0" memberValueDatatype="130" unbalanced="0"/>
    <cacheHierarchy uniqueName="[Fact_Transacciones].[Cantidad]" caption="Cantidad" attribute="1" defaultMemberUniqueName="[Fact_Transacciones].[Cantidad].[All]" allUniqueName="[Fact_Transacciones].[Cantidad].[All]" dimensionUniqueName="[Fact_Transacciones]" displayFolder="" count="0" memberValueDatatype="20" unbalanced="0"/>
    <cacheHierarchy uniqueName="[Fact_Transacciones].[Precio_Unitario]" caption="Precio_Unitario" attribute="1" defaultMemberUniqueName="[Fact_Transacciones].[Precio_Unitario].[All]" allUniqueName="[Fact_Transacciones].[Precio_Unitario].[All]" dimensionUniqueName="[Fact_Transacciones]" displayFolder="" count="0" memberValueDatatype="5" unbalanced="0"/>
    <cacheHierarchy uniqueName="[Fact_Transacciones].[Costo_Unitario]" caption="Costo_Unitario" attribute="1" defaultMemberUniqueName="[Fact_Transacciones].[Costo_Unitario].[All]" allUniqueName="[Fact_Transacciones].[Costo_Unitario].[All]" dimensionUniqueName="[Fact_Transacciones]" displayFolder="" count="0" memberValueDatatype="5" unbalanced="0"/>
    <cacheHierarchy uniqueName="[Fact_Transacciones].[Canal]" caption="Canal" attribute="1" defaultMemberUniqueName="[Fact_Transacciones].[Canal].[All]" allUniqueName="[Fact_Transacciones].[Canal].[All]" dimensionUniqueName="[Fact_Transacciones]" displayFolder="" count="2" memberValueDatatype="130" unbalanced="0"/>
    <cacheHierarchy uniqueName="[Fact_Transacciones].[Region]" caption="Region" attribute="1" defaultMemberUniqueName="[Fact_Transacciones].[Region].[All]" allUniqueName="[Fact_Transacciones].[Region].[All]" dimensionUniqueName="[Fact_Transacciones]" displayFolder="" count="2" memberValueDatatype="130" unbalanced="0"/>
    <cacheHierarchy uniqueName="[Fact_Transacciones].[Costo_Envio]" caption="Costo_Envio" attribute="1" defaultMemberUniqueName="[Fact_Transacciones].[Costo_Envio].[All]" allUniqueName="[Fact_Transacciones].[Costo_Envio].[All]" dimensionUniqueName="[Fact_Transacciones]" displayFolder="" count="0" memberValueDatatype="5" unbalanced="0"/>
    <cacheHierarchy uniqueName="[Fact_Transacciones].[Tasa_Interes]" caption="Tasa_Interes" attribute="1" defaultMemberUniqueName="[Fact_Transacciones].[Tasa_Interes].[All]" allUniqueName="[Fact_Transacciones].[Tasa_Interes].[All]" dimensionUniqueName="[Fact_Transacciones]" displayFolder="" count="0" memberValueDatatype="5" unbalanced="0"/>
    <cacheHierarchy uniqueName="[Fact_Transacciones].[Estado]" caption="Estado" attribute="1" defaultMemberUniqueName="[Fact_Transacciones].[Estado].[All]" allUniqueName="[Fact_Transacciones].[Estado].[All]" dimensionUniqueName="[Fact_Transacciones]" displayFolder="" count="0" memberValueDatatype="130" unbalanced="0"/>
    <cacheHierarchy uniqueName="[Fact_Transacciones].[Ventas_Totales]" caption="Ventas_Totales" attribute="1" defaultMemberUniqueName="[Fact_Transacciones].[Ventas_Totales].[All]" allUniqueName="[Fact_Transacciones].[Ventas_Totales].[All]" dimensionUniqueName="[Fact_Transacciones]" displayFolder="" count="0" memberValueDatatype="5" unbalanced="0"/>
    <cacheHierarchy uniqueName="[Fact_Transacciones].[Costo_Productos]" caption="Costo_Productos" attribute="1" defaultMemberUniqueName="[Fact_Transacciones].[Costo_Productos].[All]" allUniqueName="[Fact_Transacciones].[Costo_Productos].[All]" dimensionUniqueName="[Fact_Transacciones]" displayFolder="" count="0" memberValueDatatype="5" unbalanced="0"/>
    <cacheHierarchy uniqueName="[Fact_Transacciones].[Beneficio]" caption="Beneficio" attribute="1" defaultMemberUniqueName="[Fact_Transacciones].[Beneficio].[All]" allUniqueName="[Fact_Transacciones].[Beneficio].[All]" dimensionUniqueName="[Fact_Transacciones]" displayFolder="" count="0" memberValueDatatype="5" unbalanced="0"/>
    <cacheHierarchy uniqueName="[Fact_Transacciones].[Margen]" caption="Margen" attribute="1" defaultMemberUniqueName="[Fact_Transacciones].[Margen].[All]" allUniqueName="[Fact_Transacciones].[Margen].[All]" dimensionUniqueName="[Fact_Transacciones]" displayFolder="" count="0" memberValueDatatype="5" unbalanced="0"/>
    <cacheHierarchy uniqueName="[Fact_Transacciones].[Fecha (mes)]" caption="Fecha (mes)" attribute="1" defaultMemberUniqueName="[Fact_Transacciones].[Fecha (mes)].[All]" allUniqueName="[Fact_Transacciones].[Fecha (mes)].[All]" dimensionUniqueName="[Fact_Transacciones]" displayFolder="" count="2" memberValueDatatype="130" unbalanced="0">
      <fieldsUsage count="2">
        <fieldUsage x="-1"/>
        <fieldUsage x="1"/>
      </fieldsUsage>
    </cacheHierarchy>
    <cacheHierarchy uniqueName="[Fact_Transacciones].[Fecha (índice de meses)]" caption="Fecha (índice de meses)" attribute="1" defaultMemberUniqueName="[Fact_Transacciones].[Fecha (índice de meses)].[All]" allUniqueName="[Fact_Transacciones].[Fecha (índice de meses)].[All]" dimensionUniqueName="[Fact_Transacciones]" displayFolder="" count="0" memberValueDatatype="20" unbalanced="0" hidden="1"/>
    <cacheHierarchy uniqueName="[Measures].[Ventas Totales]" caption="Ventas Totales" measure="1" displayFolder="" measureGroup="Fact_Transacciones" count="0"/>
    <cacheHierarchy uniqueName="[Measures].[Costos Totales]" caption="Costos Totales" measure="1" displayFolder="" measureGroup="Fact_Transacciones" count="0"/>
    <cacheHierarchy uniqueName="[Measures].[Beneficio Total]" caption="Beneficio Total" measure="1" displayFolder="" measureGroup="Fact_Transacciones" count="0"/>
    <cacheHierarchy uniqueName="[Measures].[Unidades Vendidas]" caption="Unidades Vendidas" measure="1" displayFolder="" measureGroup="Fact_Transacciones" count="0" oneField="1">
      <fieldsUsage count="1">
        <fieldUsage x="0"/>
      </fieldsUsage>
    </cacheHierarchy>
    <cacheHierarchy uniqueName="[Measures].[Margen %]" caption="Margen %" measure="1" displayFolder="" measureGroup="Fact_Transacciones" count="0"/>
    <cacheHierarchy uniqueName="[Measures].[Margen Optimizado]" caption="Margen Optimizado" measure="1" displayFolder="" measureGroup="Fact_Transaccione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Fact_Transacciones]" caption="__XL_Count Fact_Transacciones" measure="1" displayFolder="" measureGroup="Fact_Transacciones" count="0" hidden="1"/>
    <cacheHierarchy uniqueName="[Measures].[__No measures defined]" caption="__No measures defined" measure="1" displayFolder="" count="0" hidden="1"/>
    <cacheHierarchy uniqueName="[Measures].[Suma de Ventas_Totales]" caption="Suma de Ventas_Totales" measure="1" displayFolder="" measureGroup="Fact_Transacciones" count="0" hidden="1">
      <extLst>
        <ext xmlns:x15="http://schemas.microsoft.com/office/spreadsheetml/2010/11/main" uri="{B97F6D7D-B522-45F9-BDA1-12C45D357490}">
          <x15:cacheHierarchy aggregatedColumn="21"/>
        </ext>
      </extLst>
    </cacheHierarchy>
    <cacheHierarchy uniqueName="[Measures].[Suma de Beneficio]" caption="Suma de Beneficio" measure="1" displayFolder="" measureGroup="Fact_Transacciones" count="0" hidden="1">
      <extLst>
        <ext xmlns:x15="http://schemas.microsoft.com/office/spreadsheetml/2010/11/main" uri="{B97F6D7D-B522-45F9-BDA1-12C45D357490}">
          <x15:cacheHierarchy aggregatedColumn="23"/>
        </ext>
      </extLst>
    </cacheHierarchy>
    <cacheHierarchy uniqueName="[Measures].[Suma de Costo_Productos]" caption="Suma de Costo_Productos" measure="1" displayFolder="" measureGroup="Fact_Transacciones" count="0" hidden="1">
      <extLst>
        <ext xmlns:x15="http://schemas.microsoft.com/office/spreadsheetml/2010/11/main" uri="{B97F6D7D-B522-45F9-BDA1-12C45D357490}">
          <x15:cacheHierarchy aggregatedColumn="22"/>
        </ext>
      </extLst>
    </cacheHierarchy>
  </cacheHierarchies>
  <kpis count="0"/>
  <dimensions count="5">
    <dimension name="Dim_Calendario" uniqueName="[Dim_Calendario]" caption="Dim_Calendario"/>
    <dimension name="Dim_Clientes" uniqueName="[Dim_Clientes]" caption="Dim_Clientes"/>
    <dimension name="Dim_Productos" uniqueName="[Dim_Productos]" caption="Dim_Productos"/>
    <dimension name="Fact_Transacciones" uniqueName="[Fact_Transacciones]" caption="Fact_Transacciones"/>
    <dimension measure="1" name="Measures" uniqueName="[Measures]" caption="Measures"/>
  </dimensions>
  <measureGroups count="4">
    <measureGroup name="Dim_Calendario" caption="Dim_Calendario"/>
    <measureGroup name="Dim_Clientes" caption="Dim_Clientes"/>
    <measureGroup name="Dim_Productos" caption="Dim_Productos"/>
    <measureGroup name="Fact_Transacciones" caption="Fact_Transaccion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a" refreshedDate="46279.988454629631" createdVersion="3" refreshedVersion="8" minRefreshableVersion="3" recordCount="0" supportSubquery="1" supportAdvancedDrill="1" xr:uid="{A83F6338-5A66-4C54-B1A9-9D9799E3B22C}">
  <cacheSource type="external" connectionId="9">
    <extLst>
      <ext xmlns:x14="http://schemas.microsoft.com/office/spreadsheetml/2009/9/main" uri="{F057638F-6D5F-4e77-A914-E7F072B9BCA8}">
        <x14:sourceConnection name="ThisWorkbookDataModel"/>
      </ext>
    </extLst>
  </cacheSource>
  <cacheFields count="0"/>
  <cacheHierarchies count="41">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Mes]" caption="NumeroMes" attribute="1" defaultMemberUniqueName="[Dim_Calendario].[NumeroMes].[All]" allUniqueName="[Dim_Calendario].[NumeroMes].[All]" dimensionUniqueName="[Dim_Calendario]" displayFolder="" count="0" memberValueDatatype="20" unbalanced="0"/>
    <cacheHierarchy uniqueName="[Dim_Calendario].[NombreMes]" caption="NombreMes" attribute="1" defaultMemberUniqueName="[Dim_Calendario].[NombreMes].[All]" allUniqueName="[Dim_Calendario].[Nombre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0" memberValueDatatype="130" unbalanced="0"/>
    <cacheHierarchy uniqueName="[Dim_Calendario].[Dia]" caption="Dia" attribute="1" defaultMemberUniqueName="[Dim_Calendario].[Dia].[All]" allUniqueName="[Dim_Calendario].[Dia].[All]" dimensionUniqueName="[Dim_Calendario]" displayFolder="" count="0" memberValueDatatype="20" unbalanced="0"/>
    <cacheHierarchy uniqueName="[Dim_Calendario].[NombreDia]" caption="NombreDia" attribute="1" defaultMemberUniqueName="[Dim_Calendario].[NombreDia].[All]" allUniqueName="[Dim_Calendario].[NombreDia].[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Productos].[ID_Producto]" caption="ID_Producto" attribute="1" defaultMemberUniqueName="[Dim_Productos].[ID_Producto].[All]" allUniqueName="[Dim_Productos].[ID_Producto].[All]" dimensionUniqueName="[Dim_Productos]" displayFolder="" count="0" memberValueDatatype="130" unbalanced="0"/>
    <cacheHierarchy uniqueName="[Fact_Transacciones].[ID_Transaccion]" caption="ID_Transaccion" attribute="1" defaultMemberUniqueName="[Fact_Transacciones].[ID_Transaccion].[All]" allUniqueName="[Fact_Transacciones].[ID_Transaccion].[All]" dimensionUniqueName="[Fact_Transacciones]" displayFolder="" count="0" memberValueDatatype="130" unbalanced="0"/>
    <cacheHierarchy uniqueName="[Fact_Transacciones].[Fecha]" caption="Fecha" attribute="1" time="1" defaultMemberUniqueName="[Fact_Transacciones].[Fecha].[All]" allUniqueName="[Fact_Transacciones].[Fecha].[All]" dimensionUniqueName="[Fact_Transacciones]" displayFolder="" count="0" memberValueDatatype="7" unbalanced="0"/>
    <cacheHierarchy uniqueName="[Fact_Transacciones].[ID_Cliente]" caption="ID_Cliente" attribute="1" defaultMemberUniqueName="[Fact_Transacciones].[ID_Cliente].[All]" allUniqueName="[Fact_Transacciones].[ID_Cliente].[All]" dimensionUniqueName="[Fact_Transacciones]" displayFolder="" count="0" memberValueDatatype="130" unbalanced="0"/>
    <cacheHierarchy uniqueName="[Fact_Transacciones].[ID_Producto]" caption="ID_Producto" attribute="1" defaultMemberUniqueName="[Fact_Transacciones].[ID_Producto].[All]" allUniqueName="[Fact_Transacciones].[ID_Producto].[All]" dimensionUniqueName="[Fact_Transacciones]" displayFolder="" count="0" memberValueDatatype="130" unbalanced="0"/>
    <cacheHierarchy uniqueName="[Fact_Transacciones].[Cantidad]" caption="Cantidad" attribute="1" defaultMemberUniqueName="[Fact_Transacciones].[Cantidad].[All]" allUniqueName="[Fact_Transacciones].[Cantidad].[All]" dimensionUniqueName="[Fact_Transacciones]" displayFolder="" count="2" memberValueDatatype="20" unbalanced="0"/>
    <cacheHierarchy uniqueName="[Fact_Transacciones].[Precio_Unitario]" caption="Precio_Unitario" attribute="1" defaultMemberUniqueName="[Fact_Transacciones].[Precio_Unitario].[All]" allUniqueName="[Fact_Transacciones].[Precio_Unitario].[All]" dimensionUniqueName="[Fact_Transacciones]" displayFolder="" count="0" memberValueDatatype="5" unbalanced="0"/>
    <cacheHierarchy uniqueName="[Fact_Transacciones].[Costo_Unitario]" caption="Costo_Unitario" attribute="1" defaultMemberUniqueName="[Fact_Transacciones].[Costo_Unitario].[All]" allUniqueName="[Fact_Transacciones].[Costo_Unitario].[All]" dimensionUniqueName="[Fact_Transacciones]" displayFolder="" count="0" memberValueDatatype="5" unbalanced="0"/>
    <cacheHierarchy uniqueName="[Fact_Transacciones].[Canal]" caption="Canal" attribute="1" defaultMemberUniqueName="[Fact_Transacciones].[Canal].[All]" allUniqueName="[Fact_Transacciones].[Canal].[All]" dimensionUniqueName="[Fact_Transacciones]" displayFolder="" count="0" memberValueDatatype="130" unbalanced="0"/>
    <cacheHierarchy uniqueName="[Fact_Transacciones].[Region]" caption="Region" attribute="1" defaultMemberUniqueName="[Fact_Transacciones].[Region].[All]" allUniqueName="[Fact_Transacciones].[Region].[All]" dimensionUniqueName="[Fact_Transacciones]" displayFolder="" count="2" memberValueDatatype="130" unbalanced="0"/>
    <cacheHierarchy uniqueName="[Fact_Transacciones].[Costo_Envio]" caption="Costo_Envio" attribute="1" defaultMemberUniqueName="[Fact_Transacciones].[Costo_Envio].[All]" allUniqueName="[Fact_Transacciones].[Costo_Envio].[All]" dimensionUniqueName="[Fact_Transacciones]" displayFolder="" count="0" memberValueDatatype="5" unbalanced="0"/>
    <cacheHierarchy uniqueName="[Fact_Transacciones].[Tasa_Interes]" caption="Tasa_Interes" attribute="1" defaultMemberUniqueName="[Fact_Transacciones].[Tasa_Interes].[All]" allUniqueName="[Fact_Transacciones].[Tasa_Interes].[All]" dimensionUniqueName="[Fact_Transacciones]" displayFolder="" count="0" memberValueDatatype="5" unbalanced="0"/>
    <cacheHierarchy uniqueName="[Fact_Transacciones].[Estado]" caption="Estado" attribute="1" defaultMemberUniqueName="[Fact_Transacciones].[Estado].[All]" allUniqueName="[Fact_Transacciones].[Estado].[All]" dimensionUniqueName="[Fact_Transacciones]" displayFolder="" count="0" memberValueDatatype="130" unbalanced="0"/>
    <cacheHierarchy uniqueName="[Fact_Transacciones].[Ventas_Totales]" caption="Ventas_Totales" attribute="1" defaultMemberUniqueName="[Fact_Transacciones].[Ventas_Totales].[All]" allUniqueName="[Fact_Transacciones].[Ventas_Totales].[All]" dimensionUniqueName="[Fact_Transacciones]" displayFolder="" count="0" memberValueDatatype="5" unbalanced="0"/>
    <cacheHierarchy uniqueName="[Fact_Transacciones].[Costo_Productos]" caption="Costo_Productos" attribute="1" defaultMemberUniqueName="[Fact_Transacciones].[Costo_Productos].[All]" allUniqueName="[Fact_Transacciones].[Costo_Productos].[All]" dimensionUniqueName="[Fact_Transacciones]" displayFolder="" count="0" memberValueDatatype="5" unbalanced="0"/>
    <cacheHierarchy uniqueName="[Fact_Transacciones].[Beneficio]" caption="Beneficio" attribute="1" defaultMemberUniqueName="[Fact_Transacciones].[Beneficio].[All]" allUniqueName="[Fact_Transacciones].[Beneficio].[All]" dimensionUniqueName="[Fact_Transacciones]" displayFolder="" count="0" memberValueDatatype="5" unbalanced="0"/>
    <cacheHierarchy uniqueName="[Fact_Transacciones].[Margen]" caption="Margen" attribute="1" defaultMemberUniqueName="[Fact_Transacciones].[Margen].[All]" allUniqueName="[Fact_Transacciones].[Margen].[All]" dimensionUniqueName="[Fact_Transacciones]" displayFolder="" count="0" memberValueDatatype="5" unbalanced="0"/>
    <cacheHierarchy uniqueName="[Fact_Transacciones].[Fecha (mes)]" caption="Fecha (mes)" attribute="1" defaultMemberUniqueName="[Fact_Transacciones].[Fecha (mes)].[All]" allUniqueName="[Fact_Transacciones].[Fecha (mes)].[All]" dimensionUniqueName="[Fact_Transacciones]" displayFolder="" count="2" memberValueDatatype="130" unbalanced="0"/>
    <cacheHierarchy uniqueName="[Fact_Transacciones].[Fecha (índice de meses)]" caption="Fecha (índice de meses)" attribute="1" defaultMemberUniqueName="[Fact_Transacciones].[Fecha (índice de meses)].[All]" allUniqueName="[Fact_Transacciones].[Fecha (índice de meses)].[All]" dimensionUniqueName="[Fact_Transacciones]" displayFolder="" count="0" memberValueDatatype="20" unbalanced="0" hidden="1"/>
    <cacheHierarchy uniqueName="[Measures].[Ventas Totales]" caption="Ventas Totales" measure="1" displayFolder="" measureGroup="Fact_Transacciones" count="0"/>
    <cacheHierarchy uniqueName="[Measures].[Costos Totales]" caption="Costos Totales" measure="1" displayFolder="" measureGroup="Fact_Transacciones" count="0"/>
    <cacheHierarchy uniqueName="[Measures].[Beneficio Total]" caption="Beneficio Total" measure="1" displayFolder="" measureGroup="Fact_Transacciones" count="0"/>
    <cacheHierarchy uniqueName="[Measures].[Unidades Vendidas]" caption="Unidades Vendidas" measure="1" displayFolder="" measureGroup="Fact_Transacciones" count="0"/>
    <cacheHierarchy uniqueName="[Measures].[Margen %]" caption="Margen %" measure="1" displayFolder="" measureGroup="Fact_Transacciones" count="0"/>
    <cacheHierarchy uniqueName="[Measures].[Margen Optimizado]" caption="Margen Optimizado" measure="1" displayFolder="" measureGroup="Fact_Transaccione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Fact_Transacciones]" caption="__XL_Count Fact_Transacciones" measure="1" displayFolder="" measureGroup="Fact_Transacciones" count="0" hidden="1"/>
    <cacheHierarchy uniqueName="[Measures].[__No measures defined]" caption="__No measures defined" measure="1" displayFolder="" count="0" hidden="1"/>
    <cacheHierarchy uniqueName="[Measures].[Suma de Ventas_Totales]" caption="Suma de Ventas_Totales" measure="1" displayFolder="" measureGroup="Fact_Transacciones" count="0" hidden="1">
      <extLst>
        <ext xmlns:x15="http://schemas.microsoft.com/office/spreadsheetml/2010/11/main" uri="{B97F6D7D-B522-45F9-BDA1-12C45D357490}">
          <x15:cacheHierarchy aggregatedColumn="21"/>
        </ext>
      </extLst>
    </cacheHierarchy>
    <cacheHierarchy uniqueName="[Measures].[Suma de Beneficio]" caption="Suma de Beneficio" measure="1" displayFolder="" measureGroup="Fact_Transacciones" count="0" hidden="1">
      <extLst>
        <ext xmlns:x15="http://schemas.microsoft.com/office/spreadsheetml/2010/11/main" uri="{B97F6D7D-B522-45F9-BDA1-12C45D357490}">
          <x15:cacheHierarchy aggregatedColumn="23"/>
        </ext>
      </extLst>
    </cacheHierarchy>
    <cacheHierarchy uniqueName="[Measures].[Suma de Costo_Productos]" caption="Suma de Costo_Productos" measure="1" displayFolder="" measureGroup="Fact_Transaccione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362288736"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viana" refreshedDate="46280.007981944444" createdVersion="3" refreshedVersion="8" minRefreshableVersion="3" recordCount="0" supportSubquery="1" supportAdvancedDrill="1" xr:uid="{F600DAEB-FD10-4E2A-AE10-D2F636EF0195}">
  <cacheSource type="external" connectionId="9">
    <extLst>
      <ext xmlns:x14="http://schemas.microsoft.com/office/spreadsheetml/2009/9/main" uri="{F057638F-6D5F-4e77-A914-E7F072B9BCA8}">
        <x14:sourceConnection name="ThisWorkbookDataModel"/>
      </ext>
    </extLst>
  </cacheSource>
  <cacheFields count="0"/>
  <cacheHierarchies count="41">
    <cacheHierarchy uniqueName="[Dim_Calendario].[Fecha]" caption="Fecha" attribute="1" time="1" defaultMemberUniqueName="[Dim_Calendario].[Fecha].[All]" allUniqueName="[Dim_Calendario].[Fecha].[All]" dimensionUniqueName="[Dim_Calendario]" displayFolder="" count="0" memberValueDatatype="7" unbalanced="0"/>
    <cacheHierarchy uniqueName="[Dim_Calendario].[Año]" caption="Año" attribute="1" defaultMemberUniqueName="[Dim_Calendario].[Año].[All]" allUniqueName="[Dim_Calendario].[Año].[All]" dimensionUniqueName="[Dim_Calendario]" displayFolder="" count="0" memberValueDatatype="20" unbalanced="0"/>
    <cacheHierarchy uniqueName="[Dim_Calendario].[NumeroMes]" caption="NumeroMes" attribute="1" defaultMemberUniqueName="[Dim_Calendario].[NumeroMes].[All]" allUniqueName="[Dim_Calendario].[NumeroMes].[All]" dimensionUniqueName="[Dim_Calendario]" displayFolder="" count="0" memberValueDatatype="20" unbalanced="0"/>
    <cacheHierarchy uniqueName="[Dim_Calendario].[NombreMes]" caption="NombreMes" attribute="1" defaultMemberUniqueName="[Dim_Calendario].[NombreMes].[All]" allUniqueName="[Dim_Calendario].[NombreMes].[All]" dimensionUniqueName="[Dim_Calendario]" displayFolder="" count="0" memberValueDatatype="130" unbalanced="0"/>
    <cacheHierarchy uniqueName="[Dim_Calendario].[Trimestre]" caption="Trimestre" attribute="1" defaultMemberUniqueName="[Dim_Calendario].[Trimestre].[All]" allUniqueName="[Dim_Calendario].[Trimestre].[All]" dimensionUniqueName="[Dim_Calendario]" displayFolder="" count="0" memberValueDatatype="130" unbalanced="0"/>
    <cacheHierarchy uniqueName="[Dim_Calendario].[Dia]" caption="Dia" attribute="1" defaultMemberUniqueName="[Dim_Calendario].[Dia].[All]" allUniqueName="[Dim_Calendario].[Dia].[All]" dimensionUniqueName="[Dim_Calendario]" displayFolder="" count="0" memberValueDatatype="20" unbalanced="0"/>
    <cacheHierarchy uniqueName="[Dim_Calendario].[NombreDia]" caption="NombreDia" attribute="1" defaultMemberUniqueName="[Dim_Calendario].[NombreDia].[All]" allUniqueName="[Dim_Calendario].[NombreDia].[All]" dimensionUniqueName="[Dim_Calendario]" displayFolder="" count="0" memberValueDatatype="130" unbalanced="0"/>
    <cacheHierarchy uniqueName="[Dim_Clientes].[ID_Cliente]" caption="ID_Cliente" attribute="1" defaultMemberUniqueName="[Dim_Clientes].[ID_Cliente].[All]" allUniqueName="[Dim_Clientes].[ID_Cliente].[All]" dimensionUniqueName="[Dim_Clientes]" displayFolder="" count="0" memberValueDatatype="130" unbalanced="0"/>
    <cacheHierarchy uniqueName="[Dim_Productos].[ID_Producto]" caption="ID_Producto" attribute="1" defaultMemberUniqueName="[Dim_Productos].[ID_Producto].[All]" allUniqueName="[Dim_Productos].[ID_Producto].[All]" dimensionUniqueName="[Dim_Productos]" displayFolder="" count="0" memberValueDatatype="130" unbalanced="0"/>
    <cacheHierarchy uniqueName="[Fact_Transacciones].[ID_Transaccion]" caption="ID_Transaccion" attribute="1" defaultMemberUniqueName="[Fact_Transacciones].[ID_Transaccion].[All]" allUniqueName="[Fact_Transacciones].[ID_Transaccion].[All]" dimensionUniqueName="[Fact_Transacciones]" displayFolder="" count="0" memberValueDatatype="130" unbalanced="0"/>
    <cacheHierarchy uniqueName="[Fact_Transacciones].[Fecha]" caption="Fecha" attribute="1" time="1" defaultMemberUniqueName="[Fact_Transacciones].[Fecha].[All]" allUniqueName="[Fact_Transacciones].[Fecha].[All]" dimensionUniqueName="[Fact_Transacciones]" displayFolder="" count="0" memberValueDatatype="7" unbalanced="0"/>
    <cacheHierarchy uniqueName="[Fact_Transacciones].[ID_Cliente]" caption="ID_Cliente" attribute="1" defaultMemberUniqueName="[Fact_Transacciones].[ID_Cliente].[All]" allUniqueName="[Fact_Transacciones].[ID_Cliente].[All]" dimensionUniqueName="[Fact_Transacciones]" displayFolder="" count="0" memberValueDatatype="130" unbalanced="0"/>
    <cacheHierarchy uniqueName="[Fact_Transacciones].[ID_Producto]" caption="ID_Producto" attribute="1" defaultMemberUniqueName="[Fact_Transacciones].[ID_Producto].[All]" allUniqueName="[Fact_Transacciones].[ID_Producto].[All]" dimensionUniqueName="[Fact_Transacciones]" displayFolder="" count="0" memberValueDatatype="130" unbalanced="0"/>
    <cacheHierarchy uniqueName="[Fact_Transacciones].[Cantidad]" caption="Cantidad" attribute="1" defaultMemberUniqueName="[Fact_Transacciones].[Cantidad].[All]" allUniqueName="[Fact_Transacciones].[Cantidad].[All]" dimensionUniqueName="[Fact_Transacciones]" displayFolder="" count="0" memberValueDatatype="20" unbalanced="0"/>
    <cacheHierarchy uniqueName="[Fact_Transacciones].[Precio_Unitario]" caption="Precio_Unitario" attribute="1" defaultMemberUniqueName="[Fact_Transacciones].[Precio_Unitario].[All]" allUniqueName="[Fact_Transacciones].[Precio_Unitario].[All]" dimensionUniqueName="[Fact_Transacciones]" displayFolder="" count="0" memberValueDatatype="5" unbalanced="0"/>
    <cacheHierarchy uniqueName="[Fact_Transacciones].[Costo_Unitario]" caption="Costo_Unitario" attribute="1" defaultMemberUniqueName="[Fact_Transacciones].[Costo_Unitario].[All]" allUniqueName="[Fact_Transacciones].[Costo_Unitario].[All]" dimensionUniqueName="[Fact_Transacciones]" displayFolder="" count="0" memberValueDatatype="5" unbalanced="0"/>
    <cacheHierarchy uniqueName="[Fact_Transacciones].[Canal]" caption="Canal" attribute="1" defaultMemberUniqueName="[Fact_Transacciones].[Canal].[All]" allUniqueName="[Fact_Transacciones].[Canal].[All]" dimensionUniqueName="[Fact_Transacciones]" displayFolder="" count="2" memberValueDatatype="130" unbalanced="0"/>
    <cacheHierarchy uniqueName="[Fact_Transacciones].[Region]" caption="Region" attribute="1" defaultMemberUniqueName="[Fact_Transacciones].[Region].[All]" allUniqueName="[Fact_Transacciones].[Region].[All]" dimensionUniqueName="[Fact_Transacciones]" displayFolder="" count="0" memberValueDatatype="130" unbalanced="0"/>
    <cacheHierarchy uniqueName="[Fact_Transacciones].[Costo_Envio]" caption="Costo_Envio" attribute="1" defaultMemberUniqueName="[Fact_Transacciones].[Costo_Envio].[All]" allUniqueName="[Fact_Transacciones].[Costo_Envio].[All]" dimensionUniqueName="[Fact_Transacciones]" displayFolder="" count="0" memberValueDatatype="5" unbalanced="0"/>
    <cacheHierarchy uniqueName="[Fact_Transacciones].[Tasa_Interes]" caption="Tasa_Interes" attribute="1" defaultMemberUniqueName="[Fact_Transacciones].[Tasa_Interes].[All]" allUniqueName="[Fact_Transacciones].[Tasa_Interes].[All]" dimensionUniqueName="[Fact_Transacciones]" displayFolder="" count="0" memberValueDatatype="5" unbalanced="0"/>
    <cacheHierarchy uniqueName="[Fact_Transacciones].[Estado]" caption="Estado" attribute="1" defaultMemberUniqueName="[Fact_Transacciones].[Estado].[All]" allUniqueName="[Fact_Transacciones].[Estado].[All]" dimensionUniqueName="[Fact_Transacciones]" displayFolder="" count="0" memberValueDatatype="130" unbalanced="0"/>
    <cacheHierarchy uniqueName="[Fact_Transacciones].[Ventas_Totales]" caption="Ventas_Totales" attribute="1" defaultMemberUniqueName="[Fact_Transacciones].[Ventas_Totales].[All]" allUniqueName="[Fact_Transacciones].[Ventas_Totales].[All]" dimensionUniqueName="[Fact_Transacciones]" displayFolder="" count="0" memberValueDatatype="5" unbalanced="0"/>
    <cacheHierarchy uniqueName="[Fact_Transacciones].[Costo_Productos]" caption="Costo_Productos" attribute="1" defaultMemberUniqueName="[Fact_Transacciones].[Costo_Productos].[All]" allUniqueName="[Fact_Transacciones].[Costo_Productos].[All]" dimensionUniqueName="[Fact_Transacciones]" displayFolder="" count="0" memberValueDatatype="5" unbalanced="0"/>
    <cacheHierarchy uniqueName="[Fact_Transacciones].[Beneficio]" caption="Beneficio" attribute="1" defaultMemberUniqueName="[Fact_Transacciones].[Beneficio].[All]" allUniqueName="[Fact_Transacciones].[Beneficio].[All]" dimensionUniqueName="[Fact_Transacciones]" displayFolder="" count="0" memberValueDatatype="5" unbalanced="0"/>
    <cacheHierarchy uniqueName="[Fact_Transacciones].[Margen]" caption="Margen" attribute="1" defaultMemberUniqueName="[Fact_Transacciones].[Margen].[All]" allUniqueName="[Fact_Transacciones].[Margen].[All]" dimensionUniqueName="[Fact_Transacciones]" displayFolder="" count="0" memberValueDatatype="5" unbalanced="0"/>
    <cacheHierarchy uniqueName="[Fact_Transacciones].[Fecha (mes)]" caption="Fecha (mes)" attribute="1" defaultMemberUniqueName="[Fact_Transacciones].[Fecha (mes)].[All]" allUniqueName="[Fact_Transacciones].[Fecha (mes)].[All]" dimensionUniqueName="[Fact_Transacciones]" displayFolder="" count="0" memberValueDatatype="130" unbalanced="0"/>
    <cacheHierarchy uniqueName="[Fact_Transacciones].[Fecha (índice de meses)]" caption="Fecha (índice de meses)" attribute="1" defaultMemberUniqueName="[Fact_Transacciones].[Fecha (índice de meses)].[All]" allUniqueName="[Fact_Transacciones].[Fecha (índice de meses)].[All]" dimensionUniqueName="[Fact_Transacciones]" displayFolder="" count="0" memberValueDatatype="20" unbalanced="0" hidden="1"/>
    <cacheHierarchy uniqueName="[Measures].[Ventas Totales]" caption="Ventas Totales" measure="1" displayFolder="" measureGroup="Fact_Transacciones" count="0"/>
    <cacheHierarchy uniqueName="[Measures].[Costos Totales]" caption="Costos Totales" measure="1" displayFolder="" measureGroup="Fact_Transacciones" count="0"/>
    <cacheHierarchy uniqueName="[Measures].[Beneficio Total]" caption="Beneficio Total" measure="1" displayFolder="" measureGroup="Fact_Transacciones" count="0"/>
    <cacheHierarchy uniqueName="[Measures].[Unidades Vendidas]" caption="Unidades Vendidas" measure="1" displayFolder="" measureGroup="Fact_Transacciones" count="0"/>
    <cacheHierarchy uniqueName="[Measures].[Margen %]" caption="Margen %" measure="1" displayFolder="" measureGroup="Fact_Transacciones" count="0"/>
    <cacheHierarchy uniqueName="[Measures].[Margen Optimizado]" caption="Margen Optimizado" measure="1" displayFolder="" measureGroup="Fact_Transacciones" count="0"/>
    <cacheHierarchy uniqueName="[Measures].[__XL_Count Dim_Clientes]" caption="__XL_Count Dim_Clientes" measure="1" displayFolder="" measureGroup="Dim_Clientes" count="0" hidden="1"/>
    <cacheHierarchy uniqueName="[Measures].[__XL_Count Dim_Productos]" caption="__XL_Count Dim_Productos" measure="1" displayFolder="" measureGroup="Dim_Productos" count="0" hidden="1"/>
    <cacheHierarchy uniqueName="[Measures].[__XL_Count Dim_Calendario]" caption="__XL_Count Dim_Calendario" measure="1" displayFolder="" measureGroup="Dim_Calendario" count="0" hidden="1"/>
    <cacheHierarchy uniqueName="[Measures].[__XL_Count Fact_Transacciones]" caption="__XL_Count Fact_Transacciones" measure="1" displayFolder="" measureGroup="Fact_Transacciones" count="0" hidden="1"/>
    <cacheHierarchy uniqueName="[Measures].[__No measures defined]" caption="__No measures defined" measure="1" displayFolder="" count="0" hidden="1"/>
    <cacheHierarchy uniqueName="[Measures].[Suma de Ventas_Totales]" caption="Suma de Ventas_Totales" measure="1" displayFolder="" measureGroup="Fact_Transacciones" count="0" hidden="1">
      <extLst>
        <ext xmlns:x15="http://schemas.microsoft.com/office/spreadsheetml/2010/11/main" uri="{B97F6D7D-B522-45F9-BDA1-12C45D357490}">
          <x15:cacheHierarchy aggregatedColumn="21"/>
        </ext>
      </extLst>
    </cacheHierarchy>
    <cacheHierarchy uniqueName="[Measures].[Suma de Beneficio]" caption="Suma de Beneficio" measure="1" displayFolder="" measureGroup="Fact_Transacciones" count="0" hidden="1">
      <extLst>
        <ext xmlns:x15="http://schemas.microsoft.com/office/spreadsheetml/2010/11/main" uri="{B97F6D7D-B522-45F9-BDA1-12C45D357490}">
          <x15:cacheHierarchy aggregatedColumn="23"/>
        </ext>
      </extLst>
    </cacheHierarchy>
    <cacheHierarchy uniqueName="[Measures].[Suma de Costo_Productos]" caption="Suma de Costo_Productos" measure="1" displayFolder="" measureGroup="Fact_Transacciones" count="0" hidden="1">
      <extLst>
        <ext xmlns:x15="http://schemas.microsoft.com/office/spreadsheetml/2010/11/main" uri="{B97F6D7D-B522-45F9-BDA1-12C45D357490}">
          <x15:cacheHierarchy aggregatedColumn="22"/>
        </ext>
      </extLst>
    </cacheHierarchy>
  </cacheHierarchies>
  <kpis count="0"/>
  <extLst>
    <ext xmlns:x14="http://schemas.microsoft.com/office/spreadsheetml/2009/9/main" uri="{725AE2AE-9491-48be-B2B4-4EB974FC3084}">
      <x14:pivotCacheDefinition slicerData="1" pivotCacheId="6693595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B3F6E1-B835-479E-99F2-5B6C5FDBD5A5}" name="TablaDinámica2" cacheId="2" applyNumberFormats="0" applyBorderFormats="0" applyFontFormats="0" applyPatternFormats="0" applyAlignmentFormats="0" applyWidthHeightFormats="1" dataCaption="Valores" tag="15e52585-440a-48c3-992c-416d7a490fe5" updatedVersion="8" minRefreshableVersion="3" useAutoFormatting="1" subtotalHiddenItems="1" itemPrintTitles="1" createdVersion="8" indent="0" outline="1" outlineData="1" multipleFieldFilters="0">
  <location ref="D5:D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4">
    <format dxfId="3">
      <pivotArea type="all" dataOnly="0" outline="0" fieldPosition="0"/>
    </format>
    <format dxfId="2">
      <pivotArea outline="0" collapsedLevelsAreSubtotals="1" fieldPosition="0"/>
    </format>
    <format dxfId="1">
      <pivotArea dataOnly="0" labelOnly="1" outline="0" axis="axisValues" fieldPosition="0"/>
    </format>
    <format dxfId="0">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AB477D5-CDCA-4526-9A78-C887246770F8}" name="TablaDinámica7" cacheId="5" applyNumberFormats="0" applyBorderFormats="0" applyFontFormats="0" applyPatternFormats="0" applyAlignmentFormats="0" applyWidthHeightFormats="1" dataCaption="Valores" tag="f4c10000-bc07-4a0e-867b-9a9bd7c31008" updatedVersion="8" minRefreshableVersion="3" useAutoFormatting="1" subtotalHiddenItems="1" itemPrintTitles="1" createdVersion="8" indent="0" outline="1" outlineData="1" multipleFieldFilters="0" chartFormat="9">
  <location ref="B25:C31"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formats count="1">
    <format dxfId="4">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96D192-3AC0-46AD-A62E-6AE1B99C4FF2}" name="TablaDinámica5" cacheId="0" applyNumberFormats="0" applyBorderFormats="0" applyFontFormats="0" applyPatternFormats="0" applyAlignmentFormats="0" applyWidthHeightFormats="1" dataCaption="Valores" tag="231ac3ce-1cae-46c5-bcbb-09caa8462481" updatedVersion="8" minRefreshableVersion="3" useAutoFormatting="1" subtotalHiddenItems="1" itemPrintTitles="1" createdVersion="8" indent="0" outline="1" outlineData="1" multipleFieldFilters="0" chartFormat="13">
  <location ref="B9:C22" firstHeaderRow="1" firstDataRow="1" firstDataCol="1"/>
  <pivotFields count="2">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dataFields>
  <formats count="1">
    <format dxfId="5">
      <pivotArea collapsedLevelsAreSubtotals="1" fieldPosition="0">
        <references count="1">
          <reference field="1" count="0"/>
        </references>
      </pivotArea>
    </format>
  </formats>
  <chartFormats count="1">
    <chartFormat chart="3" format="242" series="1">
      <pivotArea type="data" outline="0" fieldPosition="0">
        <references count="1">
          <reference field="4294967294" count="1" selected="0">
            <x v="0"/>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C43501-A24F-4145-A87E-041541FDA8CE}" name="TablaDinámica8" cacheId="6" applyNumberFormats="0" applyBorderFormats="0" applyFontFormats="0" applyPatternFormats="0" applyAlignmentFormats="0" applyWidthHeightFormats="1" dataCaption="Valores" tag="f07ff1fa-03b8-4e20-8fb0-422b66828149" updatedVersion="8" minRefreshableVersion="3" useAutoFormatting="1" subtotalHiddenItems="1" itemPrintTitles="1" createdVersion="8" indent="0" outline="1" outlineData="1" multipleFieldFilters="0" chartFormat="12">
  <location ref="B34:C3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formats count="1">
    <format dxfId="6">
      <pivotArea collapsedLevelsAreSubtotals="1" fieldPosition="0">
        <references count="1">
          <reference field="0" count="0"/>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3A0CFC-8665-4FDF-8BC0-BA16432A7BF9}" name="TablaDinámica4" cacheId="4" applyNumberFormats="0" applyBorderFormats="0" applyFontFormats="0" applyPatternFormats="0" applyAlignmentFormats="0" applyWidthHeightFormats="1" dataCaption="Valores" tag="a827783f-1354-48ba-bfb0-9852a481e2ec" updatedVersion="8" minRefreshableVersion="3" useAutoFormatting="1" subtotalHiddenItems="1" itemPrintTitles="1" createdVersion="8" indent="0" outline="1" outlineData="1" multipleFieldFilters="0">
  <location ref="H5:H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4">
    <format dxfId="10">
      <pivotArea type="all" dataOnly="0" outline="0" fieldPosition="0"/>
    </format>
    <format dxfId="9">
      <pivotArea outline="0" collapsedLevelsAreSubtotals="1" fieldPosition="0"/>
    </format>
    <format dxfId="8">
      <pivotArea dataOnly="0" labelOnly="1" outline="0" axis="axisValues" fieldPosition="0"/>
    </format>
    <format dxfId="7">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677F18-ED54-4A05-B56C-9054787FB4BE}" name="TablaDinámica1" cacheId="1" applyNumberFormats="0" applyBorderFormats="0" applyFontFormats="0" applyPatternFormats="0" applyAlignmentFormats="0" applyWidthHeightFormats="1" dataCaption="Valores" tag="ffc9b416-5628-49f5-9b5b-89238014c3f9" updatedVersion="8" minRefreshableVersion="3" useAutoFormatting="1" subtotalHiddenItems="1" itemPrintTitles="1" createdVersion="8" indent="0" outline="1" outlineData="1" multipleFieldFilters="0">
  <location ref="B5:B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4">
    <format dxfId="14">
      <pivotArea type="all" dataOnly="0" outline="0" fieldPosition="0"/>
    </format>
    <format dxfId="13">
      <pivotArea outline="0" collapsedLevelsAreSubtotals="1" fieldPosition="0"/>
    </format>
    <format dxfId="12">
      <pivotArea dataOnly="0" labelOnly="1" outline="0" axis="axisValues" fieldPosition="0"/>
    </format>
    <format dxfId="11">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23196B-9155-49D4-8771-033B06ED2177}" name="TablaDinámica3" cacheId="3" applyNumberFormats="0" applyBorderFormats="0" applyFontFormats="0" applyPatternFormats="0" applyAlignmentFormats="0" applyWidthHeightFormats="1" dataCaption="Valores" tag="841de40c-4221-46a2-b2d1-dafbd7fb3c49" updatedVersion="8" minRefreshableVersion="3" useAutoFormatting="1" subtotalHiddenItems="1" itemPrintTitles="1" createdVersion="8" indent="0" outline="1" outlineData="1" multipleFieldFilters="0">
  <location ref="F5:F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4">
    <format dxfId="18">
      <pivotArea type="all" dataOnly="0" outline="0" fieldPosition="0"/>
    </format>
    <format dxfId="17">
      <pivotArea outline="0" collapsedLevelsAreSubtotals="1" fieldPosition="0"/>
    </format>
    <format dxfId="16">
      <pivotArea dataOnly="0" labelOnly="1" outline="0" axis="axisValues" fieldPosition="0"/>
    </format>
    <format dxfId="15">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D4E156-D92F-480B-8336-BA5D6704BF5D}" name="TablaDinámica10" cacheId="8" applyNumberFormats="0" applyBorderFormats="0" applyFontFormats="0" applyPatternFormats="0" applyAlignmentFormats="0" applyWidthHeightFormats="1" dataCaption="Valores" tag="53a021a6-cf00-40a6-9d27-d7922efc9d62" updatedVersion="8" minRefreshableVersion="3" useAutoFormatting="1" subtotalHiddenItems="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7">
    <format dxfId="60">
      <pivotArea outline="0" collapsedLevelsAreSubtotals="1"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 dxfId="56">
      <pivotArea outline="0" collapsedLevelsAreSubtotals="1" fieldPosition="0"/>
    </format>
    <format dxfId="55">
      <pivotArea outline="0" collapsedLevelsAreSubtotals="1" fieldPosition="0"/>
    </format>
    <format dxfId="54">
      <pivotArea outline="0" collapsedLevelsAreSubtotals="1" fieldPosition="0"/>
    </format>
  </formats>
  <conditionalFormats count="7">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outline="0" collapsedLevelsAreSubtotals="1" fieldPosition="0">
          <references count="1">
            <reference field="4294967294" count="1" selected="0">
              <x v="0"/>
            </reference>
          </references>
        </pivotArea>
      </pivotAreas>
    </conditionalFormat>
    <conditionalFormat priority="5">
      <pivotAreas count="1">
        <pivotArea type="data" outline="0" collapsedLevelsAreSubtotals="1" fieldPosition="0">
          <references count="1">
            <reference field="4294967294" count="1" selected="0">
              <x v="0"/>
            </reference>
          </references>
        </pivotArea>
      </pivotAreas>
    </conditionalFormat>
    <conditionalFormat priority="6">
      <pivotAreas count="1">
        <pivotArea type="data" outline="0" collapsedLevelsAreSubtotals="1" fieldPosition="0">
          <references count="1">
            <reference field="4294967294" count="1" selected="0">
              <x v="0"/>
            </reference>
          </references>
        </pivotArea>
      </pivotAreas>
    </conditionalFormat>
    <conditionalFormat priority="7">
      <pivotAreas count="1">
        <pivotArea type="data" outline="0" collapsedLevelsAreSubtotals="1" fieldPosition="0">
          <references count="1">
            <reference field="4294967294" count="1" selected="0">
              <x v="0"/>
            </reference>
          </references>
        </pivotArea>
      </pivotAreas>
    </conditionalFormat>
  </conditional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CAD916-845F-44A1-BB65-3243B0E5030A}" name="TablaDinámica9" cacheId="7" applyNumberFormats="0" applyBorderFormats="0" applyFontFormats="0" applyPatternFormats="0" applyAlignmentFormats="0" applyWidthHeightFormats="1" dataCaption="Valores" tag="92ad5750-5e4f-4350-833d-196f2c5818c0" updatedVersion="8" minRefreshableVersion="3" useAutoFormatting="1" subtotalHiddenItems="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7">
    <format dxfId="67">
      <pivotArea outline="0" collapsedLevelsAreSubtotals="1"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 dxfId="63">
      <pivotArea outline="0" collapsedLevelsAreSubtotals="1" fieldPosition="0"/>
    </format>
    <format dxfId="62">
      <pivotArea outline="0" collapsedLevelsAreSubtotals="1" fieldPosition="0"/>
    </format>
    <format dxfId="61">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E2440D-F11F-431B-8938-9DF0FB5BB158}" name="TablaDinámica12" cacheId="10" applyNumberFormats="0" applyBorderFormats="0" applyFontFormats="0" applyPatternFormats="0" applyAlignmentFormats="0" applyWidthHeightFormats="1" dataCaption="Valores" tag="3ca3b5c0-af2f-4f0c-8e8d-ca22b9e726ac" updatedVersion="8" minRefreshableVersion="3" useAutoFormatting="1" subtotalHiddenItems="1" itemPrintTitles="1" createdVersion="8" indent="0" outline="1" outlineData="1" multipleFieldFilters="0">
  <location ref="H4:H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4"/>
  </dataFields>
  <formats count="7">
    <format dxfId="74">
      <pivotArea outline="0" collapsedLevelsAreSubtotals="1" fieldPosition="0"/>
    </format>
    <format dxfId="73">
      <pivotArea type="all" dataOnly="0" outline="0" fieldPosition="0"/>
    </format>
    <format dxfId="72">
      <pivotArea outline="0" collapsedLevelsAreSubtotals="1" fieldPosition="0"/>
    </format>
    <format dxfId="71">
      <pivotArea dataOnly="0" labelOnly="1" outline="0" axis="axisValues" fieldPosition="0"/>
    </format>
    <format dxfId="70">
      <pivotArea outline="0" collapsedLevelsAreSubtotals="1" fieldPosition="0"/>
    </format>
    <format dxfId="69">
      <pivotArea outline="0" collapsedLevelsAreSubtotals="1" fieldPosition="0"/>
    </format>
    <format dxfId="68">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529C1E-D8C4-4CC6-B9FD-73E04A2519D8}" name="TablaDinámica11" cacheId="9" applyNumberFormats="0" applyBorderFormats="0" applyFontFormats="0" applyPatternFormats="0" applyAlignmentFormats="0" applyWidthHeightFormats="1" dataCaption="Valores" tag="3b86275d-1aa6-4269-9053-bdf15e52ddb8" updatedVersion="8" minRefreshableVersion="3" useAutoFormatting="1" subtotalHiddenItems="1" itemPrintTitles="1" createdVersion="8" indent="0" outline="1" outlineData="1" multipleFieldFilters="0">
  <location ref="F4:F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7">
    <format dxfId="81">
      <pivotArea outline="0" collapsedLevelsAreSubtotals="1" fieldPosition="0"/>
    </format>
    <format dxfId="80">
      <pivotArea type="all" dataOnly="0" outline="0" fieldPosition="0"/>
    </format>
    <format dxfId="79">
      <pivotArea outline="0" collapsedLevelsAreSubtotals="1" fieldPosition="0"/>
    </format>
    <format dxfId="78">
      <pivotArea dataOnly="0" labelOnly="1" outline="0" axis="axisValues" fieldPosition="0"/>
    </format>
    <format dxfId="77">
      <pivotArea outline="0" collapsedLevelsAreSubtotals="1" fieldPosition="0"/>
    </format>
    <format dxfId="76">
      <pivotArea outline="0" collapsedLevelsAreSubtotals="1" fieldPosition="0"/>
    </format>
    <format dxfId="75">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nsaccion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backgroundRefresh="0" connectionId="5" xr16:uid="{DC436698-C85D-46C5-9DDC-2D2AC012276A}" autoFormatId="16" applyNumberFormats="0" applyBorderFormats="0" applyFontFormats="0" applyPatternFormats="0" applyAlignmentFormats="0" applyWidthHeightFormats="0">
  <queryTableRefresh nextId="19">
    <queryTableFields count="18">
      <queryTableField id="1" name="ID_Transaccion" tableColumnId="1"/>
      <queryTableField id="2" name="Fecha" tableColumnId="2"/>
      <queryTableField id="3" name="ID_Cliente" tableColumnId="3"/>
      <queryTableField id="4" name="ID_Producto" tableColumnId="4"/>
      <queryTableField id="5" name="Cantidad" tableColumnId="5"/>
      <queryTableField id="6" name="Precio_Unitario" tableColumnId="6"/>
      <queryTableField id="7" name="Costo_Unitario" tableColumnId="7"/>
      <queryTableField id="8" name="Canal" tableColumnId="8"/>
      <queryTableField id="9" name="Region" tableColumnId="9"/>
      <queryTableField id="10" name="Costo_Envio" tableColumnId="10"/>
      <queryTableField id="11" name="Tasa_Interes" tableColumnId="11"/>
      <queryTableField id="12" name="Estado" tableColumnId="12"/>
      <queryTableField id="13" name="Ventas_Totales" tableColumnId="13"/>
      <queryTableField id="14" name="Costo_Productos" tableColumnId="14"/>
      <queryTableField id="15" name="Beneficio" tableColumnId="15"/>
      <queryTableField id="16" name="Margen" tableColumnId="16"/>
      <queryTableField id="17" name="Fecha (índice de meses)" tableColumnId="17"/>
      <queryTableField id="18" name="Fecha (mes)" tableColumnId="18"/>
    </queryTableFields>
  </queryTableRefresh>
  <extLst>
    <ext xmlns:x15="http://schemas.microsoft.com/office/spreadsheetml/2010/11/main" uri="{883FBD77-0823-4a55-B5E3-86C4891E6966}">
      <x15:queryTable sourceDataName="Consulta - Fact_Transaccion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2" backgroundRefresh="0" connectionId="6" xr16:uid="{6BCDFBE5-5C4C-4C38-B590-F19C43051ABA}" autoFormatId="16" applyNumberFormats="0" applyBorderFormats="0" applyFontFormats="0" applyPatternFormats="0" applyAlignmentFormats="0" applyWidthHeightFormats="0">
  <queryTableRefresh nextId="3" unboundColumnsRight="1">
    <queryTableFields count="2">
      <queryTableField id="1" name="ID_Cliente" tableColumnId="1"/>
      <queryTableField id="2" dataBound="0" tableColumnId="2"/>
    </queryTableFields>
  </queryTableRefresh>
  <extLst>
    <ext xmlns:x15="http://schemas.microsoft.com/office/spreadsheetml/2010/11/main" uri="{883FBD77-0823-4a55-B5E3-86C4891E6966}">
      <x15:queryTable sourceDataName="Consulta - Dim_Cliente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3" backgroundRefresh="0" connectionId="7" xr16:uid="{66EC8C09-AF33-4893-991F-33BD3CDDD591}" autoFormatId="16" applyNumberFormats="0" applyBorderFormats="0" applyFontFormats="0" applyPatternFormats="0" applyAlignmentFormats="0" applyWidthHeightFormats="0">
  <queryTableRefresh nextId="3" unboundColumnsRight="1">
    <queryTableFields count="2">
      <queryTableField id="1" name="ID_Producto" tableColumnId="1"/>
      <queryTableField id="2" dataBound="0" tableColumnId="2"/>
    </queryTableFields>
  </queryTableRefresh>
  <extLst>
    <ext xmlns:x15="http://schemas.microsoft.com/office/spreadsheetml/2010/11/main" uri="{883FBD77-0823-4a55-B5E3-86C4891E6966}">
      <x15:queryTable sourceDataName="Consulta - Dim_Producto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4" backgroundRefresh="0" connectionId="8" xr16:uid="{1652268D-5295-4691-BBAD-D4EDBA6FB65D}" autoFormatId="16" applyNumberFormats="0" applyBorderFormats="0" applyFontFormats="0" applyPatternFormats="0" applyAlignmentFormats="0" applyWidthHeightFormats="0">
  <queryTableRefresh nextId="8">
    <queryTableFields count="7">
      <queryTableField id="1" name="Fecha" tableColumnId="1"/>
      <queryTableField id="2" name="Año" tableColumnId="2"/>
      <queryTableField id="3" name="NumeroMes" tableColumnId="3"/>
      <queryTableField id="4" name="NombreMes" tableColumnId="4"/>
      <queryTableField id="5" name="Trimestre" tableColumnId="5"/>
      <queryTableField id="6" name="Dia" tableColumnId="6"/>
      <queryTableField id="7" name="NombreDia" tableColumnId="7"/>
    </queryTableFields>
  </queryTableRefresh>
  <extLst>
    <ext xmlns:x15="http://schemas.microsoft.com/office/spreadsheetml/2010/11/main" uri="{883FBD77-0823-4a55-B5E3-86C4891E6966}">
      <x15:queryTable sourceDataName="Consulta - Dim_Calendario"/>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Fecha__mes" xr10:uid="{8A704B20-9406-4AF1-B20C-5BCD7F8119C9}" sourceName="[Fact_Transacciones].[Fecha (mes)]">
  <pivotTables>
    <pivotTable tabId="17" name="TablaDinámica5"/>
    <pivotTable tabId="17" name="TablaDinámica1"/>
    <pivotTable tabId="17" name="TablaDinámica2"/>
    <pivotTable tabId="17" name="TablaDinámica3"/>
    <pivotTable tabId="17" name="TablaDinámica4"/>
    <pivotTable tabId="17" name="TablaDinámica7"/>
    <pivotTable tabId="17" name="TablaDinámica8"/>
    <pivotTable tabId="18" name="TablaDinámica9"/>
    <pivotTable tabId="18" name="TablaDinámica10"/>
    <pivotTable tabId="18" name="TablaDinámica11"/>
    <pivotTable tabId="18" name="TablaDinámica12"/>
  </pivotTables>
  <data>
    <olap pivotCacheId="362288736">
      <levels count="2">
        <level uniqueName="[Fact_Transacciones].[Fecha (mes)].[(All)]" sourceCaption="(All)" count="0"/>
        <level uniqueName="[Fact_Transacciones].[Fecha (mes)].[Fecha (mes)]" sourceCaption="Fecha (mes)" count="12">
          <ranges>
            <range startItem="0">
              <i n="[Fact_Transacciones].[Fecha (mes)].&amp;[ene]" c="ene"/>
              <i n="[Fact_Transacciones].[Fecha (mes)].&amp;[feb]" c="feb"/>
              <i n="[Fact_Transacciones].[Fecha (mes)].&amp;[mar]" c="mar"/>
              <i n="[Fact_Transacciones].[Fecha (mes)].&amp;[abr]" c="abr"/>
              <i n="[Fact_Transacciones].[Fecha (mes)].&amp;[may]" c="may"/>
              <i n="[Fact_Transacciones].[Fecha (mes)].&amp;[jun]" c="jun"/>
              <i n="[Fact_Transacciones].[Fecha (mes)].&amp;[jul]" c="jul"/>
              <i n="[Fact_Transacciones].[Fecha (mes)].&amp;[ago]" c="ago"/>
              <i n="[Fact_Transacciones].[Fecha (mes)].&amp;[sept]" c="sept"/>
              <i n="[Fact_Transacciones].[Fecha (mes)].&amp;[oct]" c="oct"/>
              <i n="[Fact_Transacciones].[Fecha (mes)].&amp;[nov]" c="nov"/>
              <i n="[Fact_Transacciones].[Fecha (mes)].&amp;[dic]" c="dic"/>
            </range>
          </ranges>
        </level>
      </levels>
      <selections count="1">
        <selection n="[Fact_Transacciones].[Fecha (m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Region" xr10:uid="{BE272F49-2DB2-4656-9BF6-A937C3704996}" sourceName="[Fact_Transacciones].[Region]">
  <pivotTables>
    <pivotTable tabId="17" name="TablaDinámica7"/>
    <pivotTable tabId="17" name="TablaDinámica1"/>
    <pivotTable tabId="17" name="TablaDinámica2"/>
    <pivotTable tabId="17" name="TablaDinámica3"/>
    <pivotTable tabId="17" name="TablaDinámica4"/>
    <pivotTable tabId="17" name="TablaDinámica5"/>
    <pivotTable tabId="17" name="TablaDinámica8"/>
    <pivotTable tabId="18" name="TablaDinámica9"/>
    <pivotTable tabId="18" name="TablaDinámica10"/>
    <pivotTable tabId="18" name="TablaDinámica11"/>
    <pivotTable tabId="18" name="TablaDinámica12"/>
  </pivotTables>
  <data>
    <olap pivotCacheId="362288736">
      <levels count="2">
        <level uniqueName="[Fact_Transacciones].[Region].[(All)]" sourceCaption="(All)" count="0"/>
        <level uniqueName="[Fact_Transacciones].[Region].[Region]" sourceCaption="Region" count="5">
          <ranges>
            <range startItem="0">
              <i n="[Fact_Transacciones].[Region].&amp;[Centro]" c="Centro"/>
              <i n="[Fact_Transacciones].[Region].&amp;[Cuyo]" c="Cuyo"/>
              <i n="[Fact_Transacciones].[Region].&amp;[Litoral]" c="Litoral"/>
              <i n="[Fact_Transacciones].[Region].&amp;[Norte]" c="Norte"/>
              <i n="[Fact_Transacciones].[Region].&amp;[Sur]" c="Sur"/>
            </range>
          </ranges>
        </level>
      </levels>
      <selections count="1">
        <selection n="[Fact_Transacciones].[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anal" xr10:uid="{00AD4E3F-7E5F-4102-A199-CBA23F4DDBC3}" sourceName="[Fact_Transacciones].[Canal]">
  <pivotTables>
    <pivotTable tabId="17" name="TablaDinámica8"/>
    <pivotTable tabId="17" name="TablaDinámica1"/>
    <pivotTable tabId="17" name="TablaDinámica2"/>
    <pivotTable tabId="17" name="TablaDinámica3"/>
    <pivotTable tabId="17" name="TablaDinámica4"/>
    <pivotTable tabId="17" name="TablaDinámica5"/>
    <pivotTable tabId="17" name="TablaDinámica7"/>
    <pivotTable tabId="18" name="TablaDinámica9"/>
    <pivotTable tabId="18" name="TablaDinámica10"/>
    <pivotTable tabId="18" name="TablaDinámica11"/>
    <pivotTable tabId="18" name="TablaDinámica12"/>
  </pivotTables>
  <data>
    <olap pivotCacheId="669359563">
      <levels count="2">
        <level uniqueName="[Fact_Transacciones].[Canal].[(All)]" sourceCaption="(All)" count="0"/>
        <level uniqueName="[Fact_Transacciones].[Canal].[Canal]" sourceCaption="Canal" count="3">
          <ranges>
            <range startItem="0">
              <i n="[Fact_Transacciones].[Canal].&amp;[Mayorista]" c="Mayorista"/>
              <i n="[Fact_Transacciones].[Canal].&amp;[Minorista]" c="Minorista"/>
              <i n="[Fact_Transacciones].[Canal].&amp;[Online]" c="Online"/>
            </range>
          </ranges>
        </level>
      </levels>
      <selections count="1">
        <selection n="[Fact_Transacciones].[Cana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echa (mes)" xr10:uid="{EB832567-79C1-42AE-9640-E13CE94FEEDD}" cache="SegmentaciónDeDatos_Fecha__mes" caption="Fecha (mes)" level="1" style="SlicerStyleDark5" rowHeight="260350"/>
  <slicer name="Region" xr10:uid="{C829DBFE-3338-4D3C-AB87-1F3647A30B5F}" cache="SegmentaciónDeDatos_Region" caption="Region" level="1" style="SlicerStyleDark5" rowHeight="260350"/>
  <slicer name="Canal" xr10:uid="{5D7A37D8-27A2-4451-991D-A6F905B35C8F}" cache="SegmentaciónDeDatos_Canal" caption="Canal" level="1" style="SlicerStyleDark5" rowHeight="2603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46354F-BABA-4C65-BCF2-A067B9808373}" name="Fact_Transacciones" displayName="Fact_Transacciones" ref="A1:R393" tableType="queryTable" totalsRowShown="0" headerRowDxfId="53" dataDxfId="52">
  <autoFilter ref="A1:R393" xr:uid="{4446354F-BABA-4C65-BCF2-A067B9808373}"/>
  <tableColumns count="18">
    <tableColumn id="1" xr3:uid="{49A0136B-EB35-4AFB-BC9E-FAE876088054}" uniqueName="1" name="ID_Transaccion" queryTableFieldId="1" dataDxfId="51"/>
    <tableColumn id="2" xr3:uid="{B634A194-0A01-4C94-A4D9-2E2ED9C3A802}" uniqueName="2" name="Fecha" queryTableFieldId="2" dataDxfId="50"/>
    <tableColumn id="3" xr3:uid="{7DD9C206-F51A-4414-AEC1-8DA6C68CB9F7}" uniqueName="3" name="ID_Cliente" queryTableFieldId="3" dataDxfId="49"/>
    <tableColumn id="4" xr3:uid="{BBC8F67E-0A16-4776-A63E-0A3F157AC808}" uniqueName="4" name="ID_Producto" queryTableFieldId="4" dataDxfId="48"/>
    <tableColumn id="5" xr3:uid="{303A8831-72BA-4D22-9345-6060D4822004}" uniqueName="5" name="Cantidad" queryTableFieldId="5" dataDxfId="47"/>
    <tableColumn id="6" xr3:uid="{F1E73FF6-F15C-4859-A1A8-61E46AC75F40}" uniqueName="6" name="Precio_Unitario" queryTableFieldId="6" dataDxfId="46" dataCellStyle="Millares"/>
    <tableColumn id="7" xr3:uid="{87400C64-5479-43B5-A023-1E8B1EBBF1AC}" uniqueName="7" name="Costo_Unitario" queryTableFieldId="7" dataDxfId="45" dataCellStyle="Millares"/>
    <tableColumn id="8" xr3:uid="{A437B83C-7734-421A-8636-BCB2C289360C}" uniqueName="8" name="Canal" queryTableFieldId="8" dataDxfId="44"/>
    <tableColumn id="9" xr3:uid="{B183180D-BA61-4891-83BF-3B06ECF380AF}" uniqueName="9" name="Region" queryTableFieldId="9" dataDxfId="43"/>
    <tableColumn id="10" xr3:uid="{7348979F-EC79-4D96-93EE-E3FFC3C8990A}" uniqueName="10" name="Costo_Envio" queryTableFieldId="10" dataDxfId="42" dataCellStyle="Millares"/>
    <tableColumn id="11" xr3:uid="{3D8A3F5E-32B6-4370-885B-24BF91A861AC}" uniqueName="11" name="Tasa_Interes" queryTableFieldId="11" dataDxfId="41"/>
    <tableColumn id="12" xr3:uid="{2E1574E3-92F9-489F-96D2-274DF1C1ACE0}" uniqueName="12" name="Estado" queryTableFieldId="12" dataDxfId="40"/>
    <tableColumn id="13" xr3:uid="{CEDA2F35-8E37-4287-B696-64280CEE42F3}" uniqueName="13" name="Ventas_Totales" queryTableFieldId="13" dataDxfId="39" dataCellStyle="Millares"/>
    <tableColumn id="14" xr3:uid="{DD72F130-30A2-4A63-9A3E-B6A5DB18296E}" uniqueName="14" name="Costo_Productos" queryTableFieldId="14" dataDxfId="38" dataCellStyle="Millares"/>
    <tableColumn id="15" xr3:uid="{86CD81B0-00C4-4F0B-8711-CDA746624AF7}" uniqueName="15" name="Beneficio" queryTableFieldId="15" dataDxfId="37" dataCellStyle="Millares"/>
    <tableColumn id="16" xr3:uid="{5D9976C1-8D05-461A-AA7B-1B46FAD0BF4F}" uniqueName="16" name="Margen" queryTableFieldId="16" dataDxfId="36" dataCellStyle="Porcentaje"/>
    <tableColumn id="17" xr3:uid="{0B593713-BAA1-4FC8-8472-3A59911118DA}" uniqueName="17" name="Fecha (índice de meses)" queryTableFieldId="17" dataCellStyle="Millares"/>
    <tableColumn id="18" xr3:uid="{E6200ADD-F6C8-43DB-8CC7-39C86D7DCB57}" uniqueName="18" name="Fecha (mes)" queryTableFieldId="18" dataCellStyle="Millares"/>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486404-C929-44B7-BB0D-67C2EB77E60B}" name="Dim_Clientes" displayName="Dim_Clientes" ref="A1:B31" tableType="queryTable" totalsRowShown="0" headerRowDxfId="35" dataDxfId="34">
  <autoFilter ref="A1:B31" xr:uid="{DF486404-C929-44B7-BB0D-67C2EB77E60B}"/>
  <tableColumns count="2">
    <tableColumn id="1" xr3:uid="{39AC72E7-A0EB-40EF-9109-8E516A0C3A6F}" uniqueName="1" name="ID_Cliente" queryTableFieldId="1" dataDxfId="33"/>
    <tableColumn id="2" xr3:uid="{B0D4B69F-A055-41A8-8CAB-6B20910AC15A}" uniqueName="2" name="Cliente" queryTableFieldId="2" dataDxfId="3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881FAC3-E932-4918-AC1A-A5F22792A6CE}" name="Dim_Productos" displayName="Dim_Productos" ref="A1:B16" tableType="queryTable" totalsRowShown="0" headerRowDxfId="31" dataDxfId="30">
  <autoFilter ref="A1:B16" xr:uid="{F881FAC3-E932-4918-AC1A-A5F22792A6CE}"/>
  <tableColumns count="2">
    <tableColumn id="1" xr3:uid="{6E96C432-9F18-4F3A-81CD-A1798AE7FFBB}" uniqueName="1" name="ID_Producto" queryTableFieldId="1" dataDxfId="29"/>
    <tableColumn id="2" xr3:uid="{7D90F31B-815A-4514-9899-0AB1B9A8C965}" uniqueName="2" name="Producto" queryTableFieldId="2" dataDxfId="28"/>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462BE9-A588-4EEA-B730-CD3AF06578DE}" name="Dim_Calendario" displayName="Dim_Calendario" ref="A1:G366" tableType="queryTable" totalsRowShown="0" headerRowDxfId="27" dataDxfId="26">
  <autoFilter ref="A1:G366" xr:uid="{75462BE9-A588-4EEA-B730-CD3AF06578DE}"/>
  <tableColumns count="7">
    <tableColumn id="1" xr3:uid="{05E4D221-9CB3-4011-8F6C-63EEA4277513}" uniqueName="1" name="Fecha" queryTableFieldId="1" dataDxfId="25"/>
    <tableColumn id="2" xr3:uid="{71F242E3-EA75-4FC3-B289-61D33384E026}" uniqueName="2" name="Año" queryTableFieldId="2" dataDxfId="24"/>
    <tableColumn id="3" xr3:uid="{1DBD8E7B-26E8-488E-893E-4B6E379F7486}" uniqueName="3" name="NumeroMes" queryTableFieldId="3" dataDxfId="23"/>
    <tableColumn id="4" xr3:uid="{31CE900B-CA8B-4312-B952-0DB721D8D3DA}" uniqueName="4" name="NombreMes" queryTableFieldId="4" dataDxfId="22"/>
    <tableColumn id="5" xr3:uid="{04511A2B-956B-45FD-9560-61BB4680831D}" uniqueName="5" name="Trimestre" queryTableFieldId="5" dataDxfId="21"/>
    <tableColumn id="6" xr3:uid="{CFEF7050-AB35-4CEE-A809-53B749A388F0}" uniqueName="6" name="Dia" queryTableFieldId="6" dataDxfId="20"/>
    <tableColumn id="7" xr3:uid="{7DCF8711-3B66-4116-A2FB-86A8C52D70B3}" uniqueName="7" name="NombreDia" queryTableFieldId="7" dataDxfId="19"/>
  </tableColumns>
  <tableStyleInfo name="TableStyleMedium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9F831-A551-4370-9226-ABD612F0BDD7}">
  <sheetPr codeName="Hoja1"/>
  <dimension ref="A1:A501"/>
  <sheetViews>
    <sheetView workbookViewId="0"/>
  </sheetViews>
  <sheetFormatPr baseColWidth="10" defaultRowHeight="15.6"/>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row r="316" spans="1:1">
      <c r="A316" t="s">
        <v>315</v>
      </c>
    </row>
    <row r="317" spans="1:1">
      <c r="A317" t="s">
        <v>316</v>
      </c>
    </row>
    <row r="318" spans="1:1">
      <c r="A318" t="s">
        <v>317</v>
      </c>
    </row>
    <row r="319" spans="1:1">
      <c r="A319" t="s">
        <v>318</v>
      </c>
    </row>
    <row r="320" spans="1:1">
      <c r="A320" t="s">
        <v>319</v>
      </c>
    </row>
    <row r="321" spans="1:1">
      <c r="A321" t="s">
        <v>320</v>
      </c>
    </row>
    <row r="322" spans="1:1">
      <c r="A322" t="s">
        <v>321</v>
      </c>
    </row>
    <row r="323" spans="1:1">
      <c r="A323" t="s">
        <v>322</v>
      </c>
    </row>
    <row r="324" spans="1:1">
      <c r="A324" t="s">
        <v>323</v>
      </c>
    </row>
    <row r="325" spans="1:1">
      <c r="A325" t="s">
        <v>324</v>
      </c>
    </row>
    <row r="326" spans="1:1">
      <c r="A326" t="s">
        <v>325</v>
      </c>
    </row>
    <row r="327" spans="1:1">
      <c r="A327" t="s">
        <v>326</v>
      </c>
    </row>
    <row r="328" spans="1:1">
      <c r="A328" t="s">
        <v>327</v>
      </c>
    </row>
    <row r="329" spans="1:1">
      <c r="A329" t="s">
        <v>328</v>
      </c>
    </row>
    <row r="330" spans="1:1">
      <c r="A330" t="s">
        <v>329</v>
      </c>
    </row>
    <row r="331" spans="1:1">
      <c r="A331" t="s">
        <v>330</v>
      </c>
    </row>
    <row r="332" spans="1:1">
      <c r="A332" t="s">
        <v>331</v>
      </c>
    </row>
    <row r="333" spans="1:1">
      <c r="A333" t="s">
        <v>332</v>
      </c>
    </row>
    <row r="334" spans="1:1">
      <c r="A334" t="s">
        <v>333</v>
      </c>
    </row>
    <row r="335" spans="1:1">
      <c r="A335" t="s">
        <v>334</v>
      </c>
    </row>
    <row r="336" spans="1:1">
      <c r="A336" t="s">
        <v>335</v>
      </c>
    </row>
    <row r="337" spans="1:1">
      <c r="A337" t="s">
        <v>336</v>
      </c>
    </row>
    <row r="338" spans="1:1">
      <c r="A338" t="s">
        <v>337</v>
      </c>
    </row>
    <row r="339" spans="1:1">
      <c r="A339" t="s">
        <v>338</v>
      </c>
    </row>
    <row r="340" spans="1:1">
      <c r="A340" t="s">
        <v>339</v>
      </c>
    </row>
    <row r="341" spans="1:1">
      <c r="A341" t="s">
        <v>340</v>
      </c>
    </row>
    <row r="342" spans="1:1">
      <c r="A342" t="s">
        <v>341</v>
      </c>
    </row>
    <row r="343" spans="1:1">
      <c r="A343" t="s">
        <v>342</v>
      </c>
    </row>
    <row r="344" spans="1:1">
      <c r="A344" t="s">
        <v>343</v>
      </c>
    </row>
    <row r="345" spans="1:1">
      <c r="A345" t="s">
        <v>344</v>
      </c>
    </row>
    <row r="346" spans="1:1">
      <c r="A346" t="s">
        <v>345</v>
      </c>
    </row>
    <row r="347" spans="1:1">
      <c r="A347" t="s">
        <v>346</v>
      </c>
    </row>
    <row r="348" spans="1:1">
      <c r="A348" t="s">
        <v>347</v>
      </c>
    </row>
    <row r="349" spans="1:1">
      <c r="A349" t="s">
        <v>348</v>
      </c>
    </row>
    <row r="350" spans="1:1">
      <c r="A350" t="s">
        <v>349</v>
      </c>
    </row>
    <row r="351" spans="1:1">
      <c r="A351" t="s">
        <v>350</v>
      </c>
    </row>
    <row r="352" spans="1:1">
      <c r="A352" t="s">
        <v>351</v>
      </c>
    </row>
    <row r="353" spans="1:1">
      <c r="A353" t="s">
        <v>352</v>
      </c>
    </row>
    <row r="354" spans="1:1">
      <c r="A354" t="s">
        <v>353</v>
      </c>
    </row>
    <row r="355" spans="1:1">
      <c r="A355" t="s">
        <v>354</v>
      </c>
    </row>
    <row r="356" spans="1:1">
      <c r="A356" t="s">
        <v>355</v>
      </c>
    </row>
    <row r="357" spans="1:1">
      <c r="A357" t="s">
        <v>356</v>
      </c>
    </row>
    <row r="358" spans="1:1">
      <c r="A358" t="s">
        <v>357</v>
      </c>
    </row>
    <row r="359" spans="1:1">
      <c r="A359" t="s">
        <v>358</v>
      </c>
    </row>
    <row r="360" spans="1:1">
      <c r="A360" t="s">
        <v>359</v>
      </c>
    </row>
    <row r="361" spans="1:1">
      <c r="A361" t="s">
        <v>360</v>
      </c>
    </row>
    <row r="362" spans="1:1">
      <c r="A362" t="s">
        <v>361</v>
      </c>
    </row>
    <row r="363" spans="1:1">
      <c r="A363" t="s">
        <v>362</v>
      </c>
    </row>
    <row r="364" spans="1:1">
      <c r="A364" t="s">
        <v>363</v>
      </c>
    </row>
    <row r="365" spans="1:1">
      <c r="A365" t="s">
        <v>364</v>
      </c>
    </row>
    <row r="366" spans="1:1">
      <c r="A366" t="s">
        <v>365</v>
      </c>
    </row>
    <row r="367" spans="1:1">
      <c r="A367" t="s">
        <v>366</v>
      </c>
    </row>
    <row r="368" spans="1:1">
      <c r="A368" t="s">
        <v>367</v>
      </c>
    </row>
    <row r="369" spans="1:1">
      <c r="A369" t="s">
        <v>368</v>
      </c>
    </row>
    <row r="370" spans="1:1">
      <c r="A370" t="s">
        <v>369</v>
      </c>
    </row>
    <row r="371" spans="1:1">
      <c r="A371" t="s">
        <v>370</v>
      </c>
    </row>
    <row r="372" spans="1:1">
      <c r="A372" t="s">
        <v>371</v>
      </c>
    </row>
    <row r="373" spans="1:1">
      <c r="A373" t="s">
        <v>372</v>
      </c>
    </row>
    <row r="374" spans="1:1">
      <c r="A374" t="s">
        <v>373</v>
      </c>
    </row>
    <row r="375" spans="1:1">
      <c r="A375" t="s">
        <v>374</v>
      </c>
    </row>
    <row r="376" spans="1:1">
      <c r="A376" t="s">
        <v>375</v>
      </c>
    </row>
    <row r="377" spans="1:1">
      <c r="A377" t="s">
        <v>376</v>
      </c>
    </row>
    <row r="378" spans="1:1">
      <c r="A378" t="s">
        <v>377</v>
      </c>
    </row>
    <row r="379" spans="1:1">
      <c r="A379" t="s">
        <v>378</v>
      </c>
    </row>
    <row r="380" spans="1:1">
      <c r="A380" t="s">
        <v>379</v>
      </c>
    </row>
    <row r="381" spans="1:1">
      <c r="A381" t="s">
        <v>380</v>
      </c>
    </row>
    <row r="382" spans="1:1">
      <c r="A382" t="s">
        <v>381</v>
      </c>
    </row>
    <row r="383" spans="1:1">
      <c r="A383" t="s">
        <v>382</v>
      </c>
    </row>
    <row r="384" spans="1:1">
      <c r="A384" t="s">
        <v>383</v>
      </c>
    </row>
    <row r="385" spans="1:1">
      <c r="A385" t="s">
        <v>384</v>
      </c>
    </row>
    <row r="386" spans="1:1">
      <c r="A386" t="s">
        <v>385</v>
      </c>
    </row>
    <row r="387" spans="1:1">
      <c r="A387" t="s">
        <v>386</v>
      </c>
    </row>
    <row r="388" spans="1:1">
      <c r="A388" t="s">
        <v>387</v>
      </c>
    </row>
    <row r="389" spans="1:1">
      <c r="A389" t="s">
        <v>388</v>
      </c>
    </row>
    <row r="390" spans="1:1">
      <c r="A390" t="s">
        <v>389</v>
      </c>
    </row>
    <row r="391" spans="1:1">
      <c r="A391" t="s">
        <v>390</v>
      </c>
    </row>
    <row r="392" spans="1:1">
      <c r="A392" t="s">
        <v>391</v>
      </c>
    </row>
    <row r="393" spans="1:1">
      <c r="A393" t="s">
        <v>392</v>
      </c>
    </row>
    <row r="394" spans="1:1">
      <c r="A394" t="s">
        <v>393</v>
      </c>
    </row>
    <row r="395" spans="1:1">
      <c r="A395" t="s">
        <v>394</v>
      </c>
    </row>
    <row r="396" spans="1:1">
      <c r="A396" t="s">
        <v>395</v>
      </c>
    </row>
    <row r="397" spans="1:1">
      <c r="A397" t="s">
        <v>396</v>
      </c>
    </row>
    <row r="398" spans="1:1">
      <c r="A398" t="s">
        <v>397</v>
      </c>
    </row>
    <row r="399" spans="1:1">
      <c r="A399" t="s">
        <v>398</v>
      </c>
    </row>
    <row r="400" spans="1:1">
      <c r="A400" t="s">
        <v>399</v>
      </c>
    </row>
    <row r="401" spans="1:1">
      <c r="A401" t="s">
        <v>400</v>
      </c>
    </row>
    <row r="402" spans="1:1">
      <c r="A402" t="s">
        <v>401</v>
      </c>
    </row>
    <row r="403" spans="1:1">
      <c r="A403" t="s">
        <v>402</v>
      </c>
    </row>
    <row r="404" spans="1:1">
      <c r="A404" t="s">
        <v>403</v>
      </c>
    </row>
    <row r="405" spans="1:1">
      <c r="A405" t="s">
        <v>404</v>
      </c>
    </row>
    <row r="406" spans="1:1">
      <c r="A406" t="s">
        <v>405</v>
      </c>
    </row>
    <row r="407" spans="1:1">
      <c r="A407" t="s">
        <v>406</v>
      </c>
    </row>
    <row r="408" spans="1:1">
      <c r="A408" t="s">
        <v>407</v>
      </c>
    </row>
    <row r="409" spans="1:1">
      <c r="A409" t="s">
        <v>408</v>
      </c>
    </row>
    <row r="410" spans="1:1">
      <c r="A410" t="s">
        <v>409</v>
      </c>
    </row>
    <row r="411" spans="1:1">
      <c r="A411" t="s">
        <v>410</v>
      </c>
    </row>
    <row r="412" spans="1:1">
      <c r="A412" t="s">
        <v>411</v>
      </c>
    </row>
    <row r="413" spans="1:1">
      <c r="A413" t="s">
        <v>412</v>
      </c>
    </row>
    <row r="414" spans="1:1">
      <c r="A414" t="s">
        <v>413</v>
      </c>
    </row>
    <row r="415" spans="1:1">
      <c r="A415" t="s">
        <v>414</v>
      </c>
    </row>
    <row r="416" spans="1:1">
      <c r="A416" t="s">
        <v>415</v>
      </c>
    </row>
    <row r="417" spans="1:1">
      <c r="A417" t="s">
        <v>416</v>
      </c>
    </row>
    <row r="418" spans="1:1">
      <c r="A418" t="s">
        <v>417</v>
      </c>
    </row>
    <row r="419" spans="1:1">
      <c r="A419" t="s">
        <v>418</v>
      </c>
    </row>
    <row r="420" spans="1:1">
      <c r="A420" t="s">
        <v>419</v>
      </c>
    </row>
    <row r="421" spans="1:1">
      <c r="A421" t="s">
        <v>420</v>
      </c>
    </row>
    <row r="422" spans="1:1">
      <c r="A422" t="s">
        <v>421</v>
      </c>
    </row>
    <row r="423" spans="1:1">
      <c r="A423" t="s">
        <v>422</v>
      </c>
    </row>
    <row r="424" spans="1:1">
      <c r="A424" t="s">
        <v>423</v>
      </c>
    </row>
    <row r="425" spans="1:1">
      <c r="A425" t="s">
        <v>424</v>
      </c>
    </row>
    <row r="426" spans="1:1">
      <c r="A426" t="s">
        <v>425</v>
      </c>
    </row>
    <row r="427" spans="1:1">
      <c r="A427" t="s">
        <v>426</v>
      </c>
    </row>
    <row r="428" spans="1:1">
      <c r="A428" t="s">
        <v>427</v>
      </c>
    </row>
    <row r="429" spans="1:1">
      <c r="A429" t="s">
        <v>428</v>
      </c>
    </row>
    <row r="430" spans="1:1">
      <c r="A430" t="s">
        <v>429</v>
      </c>
    </row>
    <row r="431" spans="1:1">
      <c r="A431" t="s">
        <v>430</v>
      </c>
    </row>
    <row r="432" spans="1:1">
      <c r="A432" t="s">
        <v>431</v>
      </c>
    </row>
    <row r="433" spans="1:1">
      <c r="A433" t="s">
        <v>432</v>
      </c>
    </row>
    <row r="434" spans="1:1">
      <c r="A434" t="s">
        <v>433</v>
      </c>
    </row>
    <row r="435" spans="1:1">
      <c r="A435" t="s">
        <v>434</v>
      </c>
    </row>
    <row r="436" spans="1:1">
      <c r="A436" t="s">
        <v>435</v>
      </c>
    </row>
    <row r="437" spans="1:1">
      <c r="A437" t="s">
        <v>436</v>
      </c>
    </row>
    <row r="438" spans="1:1">
      <c r="A438" t="s">
        <v>437</v>
      </c>
    </row>
    <row r="439" spans="1:1">
      <c r="A439" t="s">
        <v>438</v>
      </c>
    </row>
    <row r="440" spans="1:1">
      <c r="A440" t="s">
        <v>439</v>
      </c>
    </row>
    <row r="441" spans="1:1">
      <c r="A441" t="s">
        <v>440</v>
      </c>
    </row>
    <row r="442" spans="1:1">
      <c r="A442" t="s">
        <v>441</v>
      </c>
    </row>
    <row r="443" spans="1:1">
      <c r="A443" t="s">
        <v>442</v>
      </c>
    </row>
    <row r="444" spans="1:1">
      <c r="A444" t="s">
        <v>443</v>
      </c>
    </row>
    <row r="445" spans="1:1">
      <c r="A445" t="s">
        <v>444</v>
      </c>
    </row>
    <row r="446" spans="1:1">
      <c r="A446" t="s">
        <v>445</v>
      </c>
    </row>
    <row r="447" spans="1:1">
      <c r="A447" t="s">
        <v>446</v>
      </c>
    </row>
    <row r="448" spans="1:1">
      <c r="A448" t="s">
        <v>447</v>
      </c>
    </row>
    <row r="449" spans="1:1">
      <c r="A449" t="s">
        <v>448</v>
      </c>
    </row>
    <row r="450" spans="1:1">
      <c r="A450" t="s">
        <v>449</v>
      </c>
    </row>
    <row r="451" spans="1:1">
      <c r="A451" t="s">
        <v>450</v>
      </c>
    </row>
    <row r="452" spans="1:1">
      <c r="A452" t="s">
        <v>451</v>
      </c>
    </row>
    <row r="453" spans="1:1">
      <c r="A453" t="s">
        <v>452</v>
      </c>
    </row>
    <row r="454" spans="1:1">
      <c r="A454" t="s">
        <v>453</v>
      </c>
    </row>
    <row r="455" spans="1:1">
      <c r="A455" t="s">
        <v>454</v>
      </c>
    </row>
    <row r="456" spans="1:1">
      <c r="A456" t="s">
        <v>455</v>
      </c>
    </row>
    <row r="457" spans="1:1">
      <c r="A457" t="s">
        <v>456</v>
      </c>
    </row>
    <row r="458" spans="1:1">
      <c r="A458" t="s">
        <v>457</v>
      </c>
    </row>
    <row r="459" spans="1:1">
      <c r="A459" t="s">
        <v>458</v>
      </c>
    </row>
    <row r="460" spans="1:1">
      <c r="A460" t="s">
        <v>459</v>
      </c>
    </row>
    <row r="461" spans="1:1">
      <c r="A461" t="s">
        <v>460</v>
      </c>
    </row>
    <row r="462" spans="1:1">
      <c r="A462" t="s">
        <v>461</v>
      </c>
    </row>
    <row r="463" spans="1:1">
      <c r="A463" t="s">
        <v>462</v>
      </c>
    </row>
    <row r="464" spans="1:1">
      <c r="A464" t="s">
        <v>463</v>
      </c>
    </row>
    <row r="465" spans="1:1">
      <c r="A465" t="s">
        <v>464</v>
      </c>
    </row>
    <row r="466" spans="1:1">
      <c r="A466" t="s">
        <v>465</v>
      </c>
    </row>
    <row r="467" spans="1:1">
      <c r="A467" t="s">
        <v>466</v>
      </c>
    </row>
    <row r="468" spans="1:1">
      <c r="A468" t="s">
        <v>467</v>
      </c>
    </row>
    <row r="469" spans="1:1">
      <c r="A469" t="s">
        <v>468</v>
      </c>
    </row>
    <row r="470" spans="1:1">
      <c r="A470" t="s">
        <v>469</v>
      </c>
    </row>
    <row r="471" spans="1:1">
      <c r="A471" t="s">
        <v>470</v>
      </c>
    </row>
    <row r="472" spans="1:1">
      <c r="A472" t="s">
        <v>471</v>
      </c>
    </row>
    <row r="473" spans="1:1">
      <c r="A473" t="s">
        <v>472</v>
      </c>
    </row>
    <row r="474" spans="1:1">
      <c r="A474" t="s">
        <v>473</v>
      </c>
    </row>
    <row r="475" spans="1:1">
      <c r="A475" t="s">
        <v>474</v>
      </c>
    </row>
    <row r="476" spans="1:1">
      <c r="A476" t="s">
        <v>475</v>
      </c>
    </row>
    <row r="477" spans="1:1">
      <c r="A477" t="s">
        <v>476</v>
      </c>
    </row>
    <row r="478" spans="1:1">
      <c r="A478" t="s">
        <v>477</v>
      </c>
    </row>
    <row r="479" spans="1:1">
      <c r="A479" t="s">
        <v>478</v>
      </c>
    </row>
    <row r="480" spans="1:1">
      <c r="A480" t="s">
        <v>479</v>
      </c>
    </row>
    <row r="481" spans="1:1">
      <c r="A481" t="s">
        <v>480</v>
      </c>
    </row>
    <row r="482" spans="1:1">
      <c r="A482" t="s">
        <v>481</v>
      </c>
    </row>
    <row r="483" spans="1:1">
      <c r="A483" t="s">
        <v>482</v>
      </c>
    </row>
    <row r="484" spans="1:1">
      <c r="A484" t="s">
        <v>483</v>
      </c>
    </row>
    <row r="485" spans="1:1">
      <c r="A485" t="s">
        <v>484</v>
      </c>
    </row>
    <row r="486" spans="1:1">
      <c r="A486" t="s">
        <v>485</v>
      </c>
    </row>
    <row r="487" spans="1:1">
      <c r="A487" t="s">
        <v>486</v>
      </c>
    </row>
    <row r="488" spans="1:1">
      <c r="A488" t="s">
        <v>487</v>
      </c>
    </row>
    <row r="489" spans="1:1">
      <c r="A489" t="s">
        <v>488</v>
      </c>
    </row>
    <row r="490" spans="1:1">
      <c r="A490" t="s">
        <v>489</v>
      </c>
    </row>
    <row r="491" spans="1:1">
      <c r="A491" t="s">
        <v>490</v>
      </c>
    </row>
    <row r="492" spans="1:1">
      <c r="A492" t="s">
        <v>491</v>
      </c>
    </row>
    <row r="493" spans="1:1">
      <c r="A493" t="s">
        <v>492</v>
      </c>
    </row>
    <row r="494" spans="1:1">
      <c r="A494" t="s">
        <v>493</v>
      </c>
    </row>
    <row r="495" spans="1:1">
      <c r="A495" t="s">
        <v>494</v>
      </c>
    </row>
    <row r="496" spans="1:1">
      <c r="A496" t="s">
        <v>495</v>
      </c>
    </row>
    <row r="497" spans="1:1">
      <c r="A497" t="s">
        <v>496</v>
      </c>
    </row>
    <row r="498" spans="1:1">
      <c r="A498" t="s">
        <v>497</v>
      </c>
    </row>
    <row r="499" spans="1:1">
      <c r="A499" t="s">
        <v>498</v>
      </c>
    </row>
    <row r="500" spans="1:1">
      <c r="A500" t="s">
        <v>499</v>
      </c>
    </row>
    <row r="501" spans="1:1">
      <c r="A501" t="s">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9D9E1-1BD5-4D4D-BA47-1B8CF6CB7AE3}">
  <dimension ref="A1:R393"/>
  <sheetViews>
    <sheetView showGridLines="0" topLeftCell="G1" workbookViewId="0">
      <selection activeCell="H16" sqref="H16"/>
    </sheetView>
  </sheetViews>
  <sheetFormatPr baseColWidth="10" defaultRowHeight="15"/>
  <cols>
    <col min="1" max="1" width="14.08203125" style="1" bestFit="1" customWidth="1"/>
    <col min="2" max="2" width="9.75" style="1" bestFit="1" customWidth="1"/>
    <col min="3" max="3" width="10.08203125" style="1" bestFit="1" customWidth="1"/>
    <col min="4" max="4" width="11.6640625" style="1" bestFit="1" customWidth="1"/>
    <col min="5" max="5" width="9.25" style="1" bestFit="1" customWidth="1"/>
    <col min="6" max="6" width="15.33203125" style="2" bestFit="1" customWidth="1"/>
    <col min="7" max="7" width="14.58203125" style="2" bestFit="1" customWidth="1"/>
    <col min="8" max="8" width="8" style="1" bestFit="1" customWidth="1"/>
    <col min="9" max="9" width="7.6640625" style="1" bestFit="1" customWidth="1"/>
    <col min="10" max="10" width="12.58203125" style="2" bestFit="1" customWidth="1"/>
    <col min="11" max="11" width="12.1640625" style="1" bestFit="1" customWidth="1"/>
    <col min="12" max="12" width="9.33203125" style="1" bestFit="1" customWidth="1"/>
    <col min="13" max="13" width="15.08203125" style="2" bestFit="1" customWidth="1"/>
    <col min="14" max="14" width="15.9140625" style="2" bestFit="1" customWidth="1"/>
    <col min="15" max="15" width="10.75" style="2" bestFit="1" customWidth="1"/>
    <col min="16" max="16" width="8.25" style="3" bestFit="1" customWidth="1"/>
    <col min="17" max="17" width="23" style="3" bestFit="1" customWidth="1"/>
    <col min="18" max="18" width="13" style="3" bestFit="1" customWidth="1"/>
    <col min="19" max="16384" width="10.6640625" style="1"/>
  </cols>
  <sheetData>
    <row r="1" spans="1:18" ht="15.6">
      <c r="A1" s="1" t="s">
        <v>501</v>
      </c>
      <c r="B1" s="1" t="s">
        <v>502</v>
      </c>
      <c r="C1" s="1" t="s">
        <v>503</v>
      </c>
      <c r="D1" s="1" t="s">
        <v>504</v>
      </c>
      <c r="E1" s="1" t="s">
        <v>505</v>
      </c>
      <c r="F1" s="2" t="s">
        <v>506</v>
      </c>
      <c r="G1" s="2" t="s">
        <v>507</v>
      </c>
      <c r="H1" s="1" t="s">
        <v>508</v>
      </c>
      <c r="I1" s="1" t="s">
        <v>509</v>
      </c>
      <c r="J1" s="2" t="s">
        <v>510</v>
      </c>
      <c r="K1" s="1" t="s">
        <v>511</v>
      </c>
      <c r="L1" s="1" t="s">
        <v>512</v>
      </c>
      <c r="M1" s="2" t="s">
        <v>513</v>
      </c>
      <c r="N1" s="2" t="s">
        <v>514</v>
      </c>
      <c r="O1" s="2" t="s">
        <v>515</v>
      </c>
      <c r="P1" s="3" t="s">
        <v>516</v>
      </c>
      <c r="Q1" t="s">
        <v>1092</v>
      </c>
      <c r="R1" t="s">
        <v>1093</v>
      </c>
    </row>
    <row r="2" spans="1:18" ht="15.6">
      <c r="A2" s="1" t="s">
        <v>517</v>
      </c>
      <c r="B2" s="4">
        <v>45698</v>
      </c>
      <c r="C2" s="1" t="s">
        <v>518</v>
      </c>
      <c r="D2" s="1" t="s">
        <v>519</v>
      </c>
      <c r="E2" s="1">
        <v>13</v>
      </c>
      <c r="F2" s="2">
        <v>73382</v>
      </c>
      <c r="G2" s="2">
        <v>44002</v>
      </c>
      <c r="H2" s="1" t="s">
        <v>520</v>
      </c>
      <c r="I2" s="1" t="s">
        <v>521</v>
      </c>
      <c r="J2" s="2">
        <v>27211</v>
      </c>
      <c r="K2" s="1">
        <v>555</v>
      </c>
      <c r="L2" s="1" t="s">
        <v>522</v>
      </c>
      <c r="M2" s="2">
        <v>953966</v>
      </c>
      <c r="N2" s="2">
        <v>572026</v>
      </c>
      <c r="O2" s="2">
        <v>354729</v>
      </c>
      <c r="P2" s="3">
        <v>0.37184658572737395</v>
      </c>
      <c r="Q2">
        <v>2</v>
      </c>
      <c r="R2" t="s">
        <v>1094</v>
      </c>
    </row>
    <row r="3" spans="1:18" ht="15.6">
      <c r="A3" s="1" t="s">
        <v>523</v>
      </c>
      <c r="B3" s="4">
        <v>45933</v>
      </c>
      <c r="C3" s="1" t="s">
        <v>524</v>
      </c>
      <c r="D3" s="1" t="s">
        <v>525</v>
      </c>
      <c r="E3" s="1">
        <v>75</v>
      </c>
      <c r="F3" s="2">
        <v>81691</v>
      </c>
      <c r="G3" s="2">
        <v>52492</v>
      </c>
      <c r="H3" s="1" t="s">
        <v>520</v>
      </c>
      <c r="I3" s="1" t="s">
        <v>521</v>
      </c>
      <c r="J3" s="2">
        <v>6484</v>
      </c>
      <c r="K3" s="1">
        <v>519</v>
      </c>
      <c r="L3" s="1" t="s">
        <v>526</v>
      </c>
      <c r="M3" s="2">
        <v>6126825</v>
      </c>
      <c r="N3" s="2">
        <v>3936900</v>
      </c>
      <c r="O3" s="2">
        <v>2183441</v>
      </c>
      <c r="P3" s="3">
        <v>0.35637397836562984</v>
      </c>
      <c r="Q3">
        <v>10</v>
      </c>
      <c r="R3" t="s">
        <v>1095</v>
      </c>
    </row>
    <row r="4" spans="1:18" ht="15.6">
      <c r="A4" s="1" t="s">
        <v>527</v>
      </c>
      <c r="B4" s="4">
        <v>45658</v>
      </c>
      <c r="C4" s="1" t="s">
        <v>528</v>
      </c>
      <c r="D4" s="1" t="s">
        <v>529</v>
      </c>
      <c r="E4" s="1">
        <v>63</v>
      </c>
      <c r="F4" s="2">
        <v>1135</v>
      </c>
      <c r="G4" s="2">
        <v>8587</v>
      </c>
      <c r="H4" s="1" t="s">
        <v>520</v>
      </c>
      <c r="I4" s="1" t="s">
        <v>521</v>
      </c>
      <c r="J4" s="2">
        <v>8476</v>
      </c>
      <c r="K4" s="1">
        <v>889</v>
      </c>
      <c r="L4" s="1" t="s">
        <v>522</v>
      </c>
      <c r="M4" s="2">
        <v>71505</v>
      </c>
      <c r="N4" s="2">
        <v>540981</v>
      </c>
      <c r="O4" s="2">
        <v>-477952</v>
      </c>
      <c r="P4" s="3">
        <v>-6.6841759317530238</v>
      </c>
      <c r="Q4">
        <v>1</v>
      </c>
      <c r="R4" t="s">
        <v>1096</v>
      </c>
    </row>
    <row r="5" spans="1:18" ht="15.6">
      <c r="A5" s="1" t="s">
        <v>530</v>
      </c>
      <c r="B5" s="4">
        <v>45882</v>
      </c>
      <c r="C5" s="1" t="s">
        <v>531</v>
      </c>
      <c r="D5" s="1" t="s">
        <v>532</v>
      </c>
      <c r="E5" s="1">
        <v>58</v>
      </c>
      <c r="F5" s="2">
        <v>28813</v>
      </c>
      <c r="G5" s="2">
        <v>15102</v>
      </c>
      <c r="H5" s="1" t="s">
        <v>520</v>
      </c>
      <c r="I5" s="1" t="s">
        <v>533</v>
      </c>
      <c r="J5" s="2">
        <v>40299</v>
      </c>
      <c r="K5" s="1">
        <v>565</v>
      </c>
      <c r="L5" s="1" t="s">
        <v>522</v>
      </c>
      <c r="M5" s="2">
        <v>1671154</v>
      </c>
      <c r="N5" s="2">
        <v>875916</v>
      </c>
      <c r="O5" s="2">
        <v>754939</v>
      </c>
      <c r="P5" s="3">
        <v>0.45174711606470735</v>
      </c>
      <c r="Q5">
        <v>8</v>
      </c>
      <c r="R5" t="s">
        <v>1097</v>
      </c>
    </row>
    <row r="6" spans="1:18" ht="15.6">
      <c r="A6" s="1" t="s">
        <v>534</v>
      </c>
      <c r="B6" s="4">
        <v>45661</v>
      </c>
      <c r="C6" s="1" t="s">
        <v>535</v>
      </c>
      <c r="D6" s="1" t="s">
        <v>525</v>
      </c>
      <c r="E6" s="1">
        <v>8</v>
      </c>
      <c r="F6" s="2">
        <v>47378</v>
      </c>
      <c r="G6" s="2">
        <v>35476</v>
      </c>
      <c r="H6" s="1" t="s">
        <v>520</v>
      </c>
      <c r="I6" s="1" t="s">
        <v>533</v>
      </c>
      <c r="J6" s="2">
        <v>35849</v>
      </c>
      <c r="K6" s="1">
        <v>589</v>
      </c>
      <c r="L6" s="1" t="s">
        <v>526</v>
      </c>
      <c r="M6" s="2">
        <v>379024</v>
      </c>
      <c r="N6" s="2">
        <v>283808</v>
      </c>
      <c r="O6" s="2">
        <v>59367</v>
      </c>
      <c r="P6" s="3">
        <v>0.15663124234876946</v>
      </c>
      <c r="Q6">
        <v>1</v>
      </c>
      <c r="R6" t="s">
        <v>1096</v>
      </c>
    </row>
    <row r="7" spans="1:18" ht="15.6">
      <c r="A7" s="1" t="s">
        <v>536</v>
      </c>
      <c r="B7" s="4">
        <v>45767</v>
      </c>
      <c r="C7" s="1" t="s">
        <v>537</v>
      </c>
      <c r="D7" s="1" t="s">
        <v>538</v>
      </c>
      <c r="E7" s="1">
        <v>74</v>
      </c>
      <c r="F7" s="2">
        <v>107108</v>
      </c>
      <c r="G7" s="2">
        <v>56787</v>
      </c>
      <c r="H7" s="1" t="s">
        <v>520</v>
      </c>
      <c r="I7" s="1" t="s">
        <v>539</v>
      </c>
      <c r="J7" s="2">
        <v>16425</v>
      </c>
      <c r="K7" s="1">
        <v>498</v>
      </c>
      <c r="L7" s="1" t="s">
        <v>526</v>
      </c>
      <c r="M7" s="2">
        <v>7925992</v>
      </c>
      <c r="N7" s="2">
        <v>4202238</v>
      </c>
      <c r="O7" s="2">
        <v>3707329</v>
      </c>
      <c r="P7" s="3">
        <v>0.46774321750514003</v>
      </c>
      <c r="Q7">
        <v>4</v>
      </c>
      <c r="R7" t="s">
        <v>1098</v>
      </c>
    </row>
    <row r="8" spans="1:18" ht="15.6">
      <c r="A8" s="1" t="s">
        <v>540</v>
      </c>
      <c r="B8" s="4">
        <v>45785</v>
      </c>
      <c r="C8" s="1" t="s">
        <v>541</v>
      </c>
      <c r="D8" s="1" t="s">
        <v>519</v>
      </c>
      <c r="E8" s="1">
        <v>69</v>
      </c>
      <c r="F8" s="2">
        <v>85162</v>
      </c>
      <c r="G8" s="2">
        <v>50179</v>
      </c>
      <c r="H8" s="1" t="s">
        <v>520</v>
      </c>
      <c r="I8" s="1" t="s">
        <v>539</v>
      </c>
      <c r="J8" s="2">
        <v>19988</v>
      </c>
      <c r="K8" s="1">
        <v>912</v>
      </c>
      <c r="L8" s="1" t="s">
        <v>526</v>
      </c>
      <c r="M8" s="2">
        <v>5876178</v>
      </c>
      <c r="N8" s="2">
        <v>3462351</v>
      </c>
      <c r="O8" s="2">
        <v>2393839</v>
      </c>
      <c r="P8" s="3">
        <v>0.40738027336816551</v>
      </c>
      <c r="Q8">
        <v>5</v>
      </c>
      <c r="R8" t="s">
        <v>1099</v>
      </c>
    </row>
    <row r="9" spans="1:18" ht="15.6">
      <c r="A9" s="1" t="s">
        <v>542</v>
      </c>
      <c r="B9" s="4">
        <v>45853</v>
      </c>
      <c r="C9" s="1" t="s">
        <v>518</v>
      </c>
      <c r="D9" s="1" t="s">
        <v>543</v>
      </c>
      <c r="E9" s="1">
        <v>61</v>
      </c>
      <c r="F9" s="2">
        <v>46259</v>
      </c>
      <c r="G9" s="2">
        <v>33282</v>
      </c>
      <c r="H9" s="1" t="s">
        <v>520</v>
      </c>
      <c r="I9" s="1" t="s">
        <v>544</v>
      </c>
      <c r="J9" s="2">
        <v>23311</v>
      </c>
      <c r="K9" s="1">
        <v>848</v>
      </c>
      <c r="L9" s="1" t="s">
        <v>522</v>
      </c>
      <c r="M9" s="2">
        <v>2821799</v>
      </c>
      <c r="N9" s="2">
        <v>2030202</v>
      </c>
      <c r="O9" s="2">
        <v>768286</v>
      </c>
      <c r="P9" s="3">
        <v>0.27226815233827784</v>
      </c>
      <c r="Q9">
        <v>7</v>
      </c>
      <c r="R9" t="s">
        <v>1100</v>
      </c>
    </row>
    <row r="10" spans="1:18" ht="15.6">
      <c r="A10" s="1" t="s">
        <v>545</v>
      </c>
      <c r="B10" s="4">
        <v>45827</v>
      </c>
      <c r="C10" s="1" t="s">
        <v>546</v>
      </c>
      <c r="D10" s="1" t="s">
        <v>547</v>
      </c>
      <c r="E10" s="1">
        <v>34</v>
      </c>
      <c r="F10" s="2">
        <v>38714</v>
      </c>
      <c r="G10" s="2">
        <v>29718</v>
      </c>
      <c r="H10" s="1" t="s">
        <v>520</v>
      </c>
      <c r="I10" s="1" t="s">
        <v>533</v>
      </c>
      <c r="J10" s="2">
        <v>11504</v>
      </c>
      <c r="K10" s="1">
        <v>667</v>
      </c>
      <c r="L10" s="1" t="s">
        <v>522</v>
      </c>
      <c r="M10" s="2">
        <v>1316276</v>
      </c>
      <c r="N10" s="2">
        <v>1010412</v>
      </c>
      <c r="O10" s="2">
        <v>294360</v>
      </c>
      <c r="P10" s="3">
        <v>0.22363091023463164</v>
      </c>
      <c r="Q10">
        <v>6</v>
      </c>
      <c r="R10" t="s">
        <v>1101</v>
      </c>
    </row>
    <row r="11" spans="1:18" ht="15.6">
      <c r="A11" s="1" t="s">
        <v>548</v>
      </c>
      <c r="B11" s="4">
        <v>45770</v>
      </c>
      <c r="C11" s="1" t="s">
        <v>549</v>
      </c>
      <c r="D11" s="1" t="s">
        <v>519</v>
      </c>
      <c r="E11" s="1">
        <v>35</v>
      </c>
      <c r="F11" s="2">
        <v>82964</v>
      </c>
      <c r="G11" s="2">
        <v>38128</v>
      </c>
      <c r="H11" s="1" t="s">
        <v>520</v>
      </c>
      <c r="I11" s="1" t="s">
        <v>539</v>
      </c>
      <c r="J11" s="2">
        <v>48451</v>
      </c>
      <c r="K11" s="1">
        <v>87</v>
      </c>
      <c r="L11" s="1" t="s">
        <v>522</v>
      </c>
      <c r="M11" s="2">
        <v>2903740</v>
      </c>
      <c r="N11" s="2">
        <v>1334480</v>
      </c>
      <c r="O11" s="2">
        <v>1520809</v>
      </c>
      <c r="P11" s="3">
        <v>0.5237414506808461</v>
      </c>
      <c r="Q11">
        <v>4</v>
      </c>
      <c r="R11" t="s">
        <v>1098</v>
      </c>
    </row>
    <row r="12" spans="1:18" ht="15.6">
      <c r="A12" s="1" t="s">
        <v>550</v>
      </c>
      <c r="B12" s="4">
        <v>45791</v>
      </c>
      <c r="C12" s="1" t="s">
        <v>551</v>
      </c>
      <c r="D12" s="1" t="s">
        <v>529</v>
      </c>
      <c r="E12" s="1">
        <v>28</v>
      </c>
      <c r="F12" s="2">
        <v>86208</v>
      </c>
      <c r="G12" s="2">
        <v>48395</v>
      </c>
      <c r="H12" s="1" t="s">
        <v>520</v>
      </c>
      <c r="I12" s="1" t="s">
        <v>544</v>
      </c>
      <c r="J12" s="2">
        <v>50121</v>
      </c>
      <c r="K12" s="1">
        <v>866</v>
      </c>
      <c r="L12" s="1" t="s">
        <v>522</v>
      </c>
      <c r="M12" s="2">
        <v>2413824</v>
      </c>
      <c r="N12" s="2">
        <v>1355060</v>
      </c>
      <c r="O12" s="2">
        <v>1008643</v>
      </c>
      <c r="P12" s="3">
        <v>0.41786103709301092</v>
      </c>
      <c r="Q12">
        <v>5</v>
      </c>
      <c r="R12" t="s">
        <v>1099</v>
      </c>
    </row>
    <row r="13" spans="1:18" ht="15.6">
      <c r="A13" s="1" t="s">
        <v>552</v>
      </c>
      <c r="B13" s="4">
        <v>45784</v>
      </c>
      <c r="C13" s="1" t="s">
        <v>541</v>
      </c>
      <c r="D13" s="1" t="s">
        <v>553</v>
      </c>
      <c r="E13" s="1">
        <v>3</v>
      </c>
      <c r="F13" s="2">
        <v>11487</v>
      </c>
      <c r="G13" s="2">
        <v>60734</v>
      </c>
      <c r="H13" s="1" t="s">
        <v>520</v>
      </c>
      <c r="I13" s="1" t="s">
        <v>533</v>
      </c>
      <c r="J13" s="2">
        <v>38838</v>
      </c>
      <c r="K13" s="1">
        <v>559</v>
      </c>
      <c r="L13" s="1" t="s">
        <v>522</v>
      </c>
      <c r="M13" s="2">
        <v>34461</v>
      </c>
      <c r="N13" s="2">
        <v>182202</v>
      </c>
      <c r="O13" s="2">
        <v>-186579</v>
      </c>
      <c r="P13" s="3">
        <v>-5.4142073648472184</v>
      </c>
      <c r="Q13">
        <v>5</v>
      </c>
      <c r="R13" t="s">
        <v>1099</v>
      </c>
    </row>
    <row r="14" spans="1:18" ht="15.6">
      <c r="A14" s="1" t="s">
        <v>554</v>
      </c>
      <c r="B14" s="4">
        <v>45693</v>
      </c>
      <c r="C14" s="1" t="s">
        <v>555</v>
      </c>
      <c r="D14" s="1" t="s">
        <v>556</v>
      </c>
      <c r="E14" s="1">
        <v>44</v>
      </c>
      <c r="F14" s="2">
        <v>10176</v>
      </c>
      <c r="G14" s="2">
        <v>599</v>
      </c>
      <c r="H14" s="1" t="s">
        <v>520</v>
      </c>
      <c r="I14" s="1" t="s">
        <v>533</v>
      </c>
      <c r="J14" s="2">
        <v>31011</v>
      </c>
      <c r="K14" s="1">
        <v>631</v>
      </c>
      <c r="L14" s="1" t="s">
        <v>526</v>
      </c>
      <c r="M14" s="2">
        <v>447744</v>
      </c>
      <c r="N14" s="2">
        <v>26356</v>
      </c>
      <c r="O14" s="2">
        <v>390377</v>
      </c>
      <c r="P14" s="3">
        <v>0.87187544668381933</v>
      </c>
      <c r="Q14">
        <v>2</v>
      </c>
      <c r="R14" t="s">
        <v>1094</v>
      </c>
    </row>
    <row r="15" spans="1:18" ht="15.6">
      <c r="A15" s="1" t="s">
        <v>557</v>
      </c>
      <c r="B15" s="4">
        <v>46020</v>
      </c>
      <c r="C15" s="1" t="s">
        <v>558</v>
      </c>
      <c r="D15" s="1" t="s">
        <v>559</v>
      </c>
      <c r="E15" s="1">
        <v>23</v>
      </c>
      <c r="F15" s="2">
        <v>134213</v>
      </c>
      <c r="G15" s="2">
        <v>103157</v>
      </c>
      <c r="H15" s="1" t="s">
        <v>520</v>
      </c>
      <c r="I15" s="1" t="s">
        <v>560</v>
      </c>
      <c r="J15" s="2">
        <v>53492</v>
      </c>
      <c r="K15" s="1">
        <v>719</v>
      </c>
      <c r="L15" s="1" t="s">
        <v>526</v>
      </c>
      <c r="M15" s="2">
        <v>3086899</v>
      </c>
      <c r="N15" s="2">
        <v>2372611</v>
      </c>
      <c r="O15" s="2">
        <v>660796</v>
      </c>
      <c r="P15" s="3">
        <v>0.21406466489509374</v>
      </c>
      <c r="Q15">
        <v>12</v>
      </c>
      <c r="R15" t="s">
        <v>1102</v>
      </c>
    </row>
    <row r="16" spans="1:18" ht="15.6">
      <c r="A16" s="1" t="s">
        <v>561</v>
      </c>
      <c r="B16" s="4">
        <v>45949</v>
      </c>
      <c r="C16" s="1" t="s">
        <v>528</v>
      </c>
      <c r="D16" s="1" t="s">
        <v>556</v>
      </c>
      <c r="E16" s="1">
        <v>49</v>
      </c>
      <c r="F16" s="2">
        <v>6586</v>
      </c>
      <c r="G16" s="2">
        <v>4038</v>
      </c>
      <c r="H16" s="1" t="s">
        <v>520</v>
      </c>
      <c r="I16" s="1" t="s">
        <v>521</v>
      </c>
      <c r="J16" s="2">
        <v>34253</v>
      </c>
      <c r="K16" s="1">
        <v>627</v>
      </c>
      <c r="L16" s="1" t="s">
        <v>522</v>
      </c>
      <c r="M16" s="2">
        <v>322714</v>
      </c>
      <c r="N16" s="2">
        <v>197862</v>
      </c>
      <c r="O16" s="2">
        <v>90599</v>
      </c>
      <c r="P16" s="3">
        <v>0.28074084173602631</v>
      </c>
      <c r="Q16">
        <v>10</v>
      </c>
      <c r="R16" t="s">
        <v>1095</v>
      </c>
    </row>
    <row r="17" spans="1:18" ht="15.6">
      <c r="A17" s="1" t="s">
        <v>562</v>
      </c>
      <c r="B17" s="4">
        <v>45908</v>
      </c>
      <c r="C17" s="1" t="s">
        <v>537</v>
      </c>
      <c r="D17" s="1" t="s">
        <v>563</v>
      </c>
      <c r="E17" s="1">
        <v>31</v>
      </c>
      <c r="F17" s="2">
        <v>126785</v>
      </c>
      <c r="G17" s="2">
        <v>84077</v>
      </c>
      <c r="H17" s="1" t="s">
        <v>520</v>
      </c>
      <c r="I17" s="1" t="s">
        <v>539</v>
      </c>
      <c r="J17" s="2">
        <v>52576</v>
      </c>
      <c r="K17" s="1">
        <v>497</v>
      </c>
      <c r="L17" s="1" t="s">
        <v>522</v>
      </c>
      <c r="M17" s="2">
        <v>3930335</v>
      </c>
      <c r="N17" s="2">
        <v>2606387</v>
      </c>
      <c r="O17" s="2">
        <v>1271372</v>
      </c>
      <c r="P17" s="3">
        <v>0.32347675198170128</v>
      </c>
      <c r="Q17">
        <v>9</v>
      </c>
      <c r="R17" t="s">
        <v>1103</v>
      </c>
    </row>
    <row r="18" spans="1:18" ht="15.6">
      <c r="A18" s="1" t="s">
        <v>564</v>
      </c>
      <c r="B18" s="4">
        <v>46015</v>
      </c>
      <c r="C18" s="1" t="s">
        <v>558</v>
      </c>
      <c r="D18" s="1" t="s">
        <v>556</v>
      </c>
      <c r="E18" s="1">
        <v>63</v>
      </c>
      <c r="F18" s="2">
        <v>25645</v>
      </c>
      <c r="G18" s="2">
        <v>11644</v>
      </c>
      <c r="H18" s="1" t="s">
        <v>520</v>
      </c>
      <c r="I18" s="1" t="s">
        <v>539</v>
      </c>
      <c r="J18" s="2">
        <v>33723</v>
      </c>
      <c r="K18" s="1">
        <v>62</v>
      </c>
      <c r="L18" s="1" t="s">
        <v>522</v>
      </c>
      <c r="M18" s="2">
        <v>1615635</v>
      </c>
      <c r="N18" s="2">
        <v>733572</v>
      </c>
      <c r="O18" s="2">
        <v>848340</v>
      </c>
      <c r="P18" s="3">
        <v>0.52508146951508228</v>
      </c>
      <c r="Q18">
        <v>12</v>
      </c>
      <c r="R18" t="s">
        <v>1102</v>
      </c>
    </row>
    <row r="19" spans="1:18" ht="15.6">
      <c r="A19" s="1" t="s">
        <v>565</v>
      </c>
      <c r="B19" s="4">
        <v>45852</v>
      </c>
      <c r="C19" s="1" t="s">
        <v>566</v>
      </c>
      <c r="D19" s="1" t="s">
        <v>567</v>
      </c>
      <c r="E19" s="1">
        <v>57</v>
      </c>
      <c r="F19" s="2">
        <v>59145</v>
      </c>
      <c r="G19" s="2">
        <v>38102</v>
      </c>
      <c r="H19" s="1" t="s">
        <v>520</v>
      </c>
      <c r="I19" s="1" t="s">
        <v>544</v>
      </c>
      <c r="J19" s="2">
        <v>39118</v>
      </c>
      <c r="K19" s="1">
        <v>48</v>
      </c>
      <c r="L19" s="1" t="s">
        <v>522</v>
      </c>
      <c r="M19" s="2">
        <v>3371265</v>
      </c>
      <c r="N19" s="2">
        <v>2171814</v>
      </c>
      <c r="O19" s="2">
        <v>1160333</v>
      </c>
      <c r="P19" s="3">
        <v>0.344183266518651</v>
      </c>
      <c r="Q19">
        <v>7</v>
      </c>
      <c r="R19" t="s">
        <v>1100</v>
      </c>
    </row>
    <row r="20" spans="1:18" ht="15.6">
      <c r="A20" s="1" t="s">
        <v>568</v>
      </c>
      <c r="B20" s="4">
        <v>46010</v>
      </c>
      <c r="C20" s="1" t="s">
        <v>528</v>
      </c>
      <c r="D20" s="1" t="s">
        <v>569</v>
      </c>
      <c r="E20" s="1">
        <v>38</v>
      </c>
      <c r="F20" s="2">
        <v>13614</v>
      </c>
      <c r="G20" s="2">
        <v>7421</v>
      </c>
      <c r="H20" s="1" t="s">
        <v>520</v>
      </c>
      <c r="I20" s="1" t="s">
        <v>539</v>
      </c>
      <c r="J20" s="2">
        <v>9271</v>
      </c>
      <c r="K20" s="1">
        <v>567</v>
      </c>
      <c r="L20" s="1" t="s">
        <v>522</v>
      </c>
      <c r="M20" s="2">
        <v>517332</v>
      </c>
      <c r="N20" s="2">
        <v>281998</v>
      </c>
      <c r="O20" s="2">
        <v>226063</v>
      </c>
      <c r="P20" s="3">
        <v>0.43697857468704815</v>
      </c>
      <c r="Q20">
        <v>12</v>
      </c>
      <c r="R20" t="s">
        <v>1102</v>
      </c>
    </row>
    <row r="21" spans="1:18" ht="15.6">
      <c r="A21" s="1" t="s">
        <v>570</v>
      </c>
      <c r="B21" s="4">
        <v>45688</v>
      </c>
      <c r="C21" s="1" t="s">
        <v>571</v>
      </c>
      <c r="D21" s="1" t="s">
        <v>563</v>
      </c>
      <c r="E21" s="1">
        <v>40</v>
      </c>
      <c r="F21" s="2">
        <v>110348</v>
      </c>
      <c r="G21" s="2">
        <v>79671</v>
      </c>
      <c r="H21" s="1" t="s">
        <v>520</v>
      </c>
      <c r="I21" s="1" t="s">
        <v>539</v>
      </c>
      <c r="J21" s="2">
        <v>12461</v>
      </c>
      <c r="K21" s="1">
        <v>794</v>
      </c>
      <c r="L21" s="1" t="s">
        <v>526</v>
      </c>
      <c r="M21" s="2">
        <v>4413920</v>
      </c>
      <c r="N21" s="2">
        <v>3186840</v>
      </c>
      <c r="O21" s="2">
        <v>1214619</v>
      </c>
      <c r="P21" s="3">
        <v>0.27517920578533367</v>
      </c>
      <c r="Q21">
        <v>1</v>
      </c>
      <c r="R21" t="s">
        <v>1096</v>
      </c>
    </row>
    <row r="22" spans="1:18" ht="15.6">
      <c r="A22" s="1" t="s">
        <v>572</v>
      </c>
      <c r="B22" s="4">
        <v>45797</v>
      </c>
      <c r="C22" s="1" t="s">
        <v>555</v>
      </c>
      <c r="D22" s="1" t="s">
        <v>532</v>
      </c>
      <c r="E22" s="1">
        <v>64</v>
      </c>
      <c r="F22" s="2">
        <v>83295</v>
      </c>
      <c r="G22" s="2">
        <v>53921</v>
      </c>
      <c r="H22" s="1" t="s">
        <v>520</v>
      </c>
      <c r="I22" s="1" t="s">
        <v>544</v>
      </c>
      <c r="J22" s="2">
        <v>41223</v>
      </c>
      <c r="K22" s="1">
        <v>463</v>
      </c>
      <c r="L22" s="1" t="s">
        <v>522</v>
      </c>
      <c r="M22" s="2">
        <v>5330880</v>
      </c>
      <c r="N22" s="2">
        <v>3450944</v>
      </c>
      <c r="O22" s="2">
        <v>1838713</v>
      </c>
      <c r="P22" s="3">
        <v>0.34491734948076114</v>
      </c>
      <c r="Q22">
        <v>5</v>
      </c>
      <c r="R22" t="s">
        <v>1099</v>
      </c>
    </row>
    <row r="23" spans="1:18" ht="15.6">
      <c r="A23" s="1" t="s">
        <v>573</v>
      </c>
      <c r="B23" s="4">
        <v>45913</v>
      </c>
      <c r="C23" s="1" t="s">
        <v>574</v>
      </c>
      <c r="D23" s="1" t="s">
        <v>525</v>
      </c>
      <c r="E23" s="1">
        <v>38</v>
      </c>
      <c r="F23" s="2">
        <v>95526</v>
      </c>
      <c r="G23" s="2">
        <v>51606</v>
      </c>
      <c r="H23" s="1" t="s">
        <v>520</v>
      </c>
      <c r="I23" s="1" t="s">
        <v>539</v>
      </c>
      <c r="J23" s="2">
        <v>19624</v>
      </c>
      <c r="K23" s="1">
        <v>726</v>
      </c>
      <c r="L23" s="1" t="s">
        <v>526</v>
      </c>
      <c r="M23" s="2">
        <v>3629988</v>
      </c>
      <c r="N23" s="2">
        <v>1961028</v>
      </c>
      <c r="O23" s="2">
        <v>1649336</v>
      </c>
      <c r="P23" s="3">
        <v>0.45436403646513435</v>
      </c>
      <c r="Q23">
        <v>9</v>
      </c>
      <c r="R23" t="s">
        <v>1103</v>
      </c>
    </row>
    <row r="24" spans="1:18" ht="15.6">
      <c r="A24" s="1" t="s">
        <v>575</v>
      </c>
      <c r="B24" s="4">
        <v>45886</v>
      </c>
      <c r="C24" s="1" t="s">
        <v>537</v>
      </c>
      <c r="D24" s="1" t="s">
        <v>569</v>
      </c>
      <c r="E24" s="1">
        <v>45</v>
      </c>
      <c r="F24" s="2">
        <v>6518</v>
      </c>
      <c r="G24" s="2">
        <v>4574</v>
      </c>
      <c r="H24" s="1" t="s">
        <v>520</v>
      </c>
      <c r="I24" s="1" t="s">
        <v>539</v>
      </c>
      <c r="J24" s="2">
        <v>60971</v>
      </c>
      <c r="K24" s="1">
        <v>885</v>
      </c>
      <c r="L24" s="1" t="s">
        <v>522</v>
      </c>
      <c r="M24" s="2">
        <v>293310</v>
      </c>
      <c r="N24" s="2">
        <v>205830</v>
      </c>
      <c r="O24" s="2">
        <v>26509</v>
      </c>
      <c r="P24" s="3">
        <v>9.0378780130237632E-2</v>
      </c>
      <c r="Q24">
        <v>8</v>
      </c>
      <c r="R24" t="s">
        <v>1097</v>
      </c>
    </row>
    <row r="25" spans="1:18" ht="15.6">
      <c r="A25" s="1" t="s">
        <v>576</v>
      </c>
      <c r="B25" s="4">
        <v>45731</v>
      </c>
      <c r="C25" s="1" t="s">
        <v>577</v>
      </c>
      <c r="D25" s="1" t="s">
        <v>553</v>
      </c>
      <c r="E25" s="1">
        <v>20</v>
      </c>
      <c r="F25" s="2">
        <v>2087</v>
      </c>
      <c r="G25" s="2">
        <v>14774</v>
      </c>
      <c r="H25" s="1" t="s">
        <v>520</v>
      </c>
      <c r="I25" s="1" t="s">
        <v>544</v>
      </c>
      <c r="J25" s="2">
        <v>42396</v>
      </c>
      <c r="K25" s="1">
        <v>649</v>
      </c>
      <c r="L25" s="1" t="s">
        <v>522</v>
      </c>
      <c r="M25" s="2">
        <v>41740</v>
      </c>
      <c r="N25" s="2">
        <v>295480</v>
      </c>
      <c r="O25" s="2">
        <v>-296136</v>
      </c>
      <c r="P25" s="3">
        <v>-7.0947771921418301</v>
      </c>
      <c r="Q25">
        <v>3</v>
      </c>
      <c r="R25" t="s">
        <v>1104</v>
      </c>
    </row>
    <row r="26" spans="1:18" ht="15.6">
      <c r="A26" s="1" t="s">
        <v>578</v>
      </c>
      <c r="B26" s="4">
        <v>45778</v>
      </c>
      <c r="C26" s="1" t="s">
        <v>579</v>
      </c>
      <c r="D26" s="1" t="s">
        <v>556</v>
      </c>
      <c r="E26" s="1">
        <v>37</v>
      </c>
      <c r="F26" s="2">
        <v>179557</v>
      </c>
      <c r="G26" s="2">
        <v>125049</v>
      </c>
      <c r="H26" s="1" t="s">
        <v>520</v>
      </c>
      <c r="I26" s="1" t="s">
        <v>533</v>
      </c>
      <c r="J26" s="2">
        <v>50622</v>
      </c>
      <c r="K26" s="1">
        <v>802</v>
      </c>
      <c r="L26" s="1" t="s">
        <v>522</v>
      </c>
      <c r="M26" s="2">
        <v>6643609</v>
      </c>
      <c r="N26" s="2">
        <v>4626813</v>
      </c>
      <c r="O26" s="2">
        <v>1966174</v>
      </c>
      <c r="P26" s="3">
        <v>0.29594968638280789</v>
      </c>
      <c r="Q26">
        <v>5</v>
      </c>
      <c r="R26" t="s">
        <v>1099</v>
      </c>
    </row>
    <row r="27" spans="1:18" ht="15.6">
      <c r="A27" s="1" t="s">
        <v>580</v>
      </c>
      <c r="B27" s="4">
        <v>45731</v>
      </c>
      <c r="C27" s="1" t="s">
        <v>581</v>
      </c>
      <c r="D27" s="1" t="s">
        <v>569</v>
      </c>
      <c r="E27" s="1">
        <v>33</v>
      </c>
      <c r="F27" s="2">
        <v>87046</v>
      </c>
      <c r="G27" s="2">
        <v>58326</v>
      </c>
      <c r="H27" s="1" t="s">
        <v>520</v>
      </c>
      <c r="I27" s="1" t="s">
        <v>544</v>
      </c>
      <c r="J27" s="2">
        <v>45657</v>
      </c>
      <c r="K27" s="1">
        <v>529</v>
      </c>
      <c r="L27" s="1" t="s">
        <v>526</v>
      </c>
      <c r="M27" s="2">
        <v>2872518</v>
      </c>
      <c r="N27" s="2">
        <v>1924758</v>
      </c>
      <c r="O27" s="2">
        <v>902103</v>
      </c>
      <c r="P27" s="3">
        <v>0.31404607386272254</v>
      </c>
      <c r="Q27">
        <v>3</v>
      </c>
      <c r="R27" t="s">
        <v>1104</v>
      </c>
    </row>
    <row r="28" spans="1:18" ht="15.6">
      <c r="A28" s="1" t="s">
        <v>582</v>
      </c>
      <c r="B28" s="4">
        <v>45834</v>
      </c>
      <c r="C28" s="1" t="s">
        <v>583</v>
      </c>
      <c r="D28" s="1" t="s">
        <v>584</v>
      </c>
      <c r="E28" s="1">
        <v>55</v>
      </c>
      <c r="F28" s="2">
        <v>126734</v>
      </c>
      <c r="G28" s="2">
        <v>76136</v>
      </c>
      <c r="H28" s="1" t="s">
        <v>520</v>
      </c>
      <c r="I28" s="1" t="s">
        <v>521</v>
      </c>
      <c r="J28" s="2">
        <v>64962</v>
      </c>
      <c r="K28" s="1">
        <v>877</v>
      </c>
      <c r="L28" s="1" t="s">
        <v>522</v>
      </c>
      <c r="M28" s="2">
        <v>6970370</v>
      </c>
      <c r="N28" s="2">
        <v>4187480</v>
      </c>
      <c r="O28" s="2">
        <v>2717928</v>
      </c>
      <c r="P28" s="3">
        <v>0.38992592932656372</v>
      </c>
      <c r="Q28">
        <v>6</v>
      </c>
      <c r="R28" t="s">
        <v>1101</v>
      </c>
    </row>
    <row r="29" spans="1:18" ht="15.6">
      <c r="A29" s="1" t="s">
        <v>585</v>
      </c>
      <c r="B29" s="4">
        <v>45779</v>
      </c>
      <c r="C29" s="1" t="s">
        <v>551</v>
      </c>
      <c r="D29" s="1" t="s">
        <v>586</v>
      </c>
      <c r="E29" s="1">
        <v>46</v>
      </c>
      <c r="F29" s="2">
        <v>106868</v>
      </c>
      <c r="G29" s="2">
        <v>83099</v>
      </c>
      <c r="H29" s="1" t="s">
        <v>520</v>
      </c>
      <c r="I29" s="1" t="s">
        <v>533</v>
      </c>
      <c r="J29" s="2">
        <v>63677</v>
      </c>
      <c r="K29" s="1">
        <v>779</v>
      </c>
      <c r="L29" s="1" t="s">
        <v>522</v>
      </c>
      <c r="M29" s="2">
        <v>4915928</v>
      </c>
      <c r="N29" s="2">
        <v>3822554</v>
      </c>
      <c r="O29" s="2">
        <v>1029697</v>
      </c>
      <c r="P29" s="3">
        <v>0.20946136721286399</v>
      </c>
      <c r="Q29">
        <v>5</v>
      </c>
      <c r="R29" t="s">
        <v>1099</v>
      </c>
    </row>
    <row r="30" spans="1:18" ht="15.6">
      <c r="A30" s="1" t="s">
        <v>587</v>
      </c>
      <c r="B30" s="4">
        <v>45662</v>
      </c>
      <c r="C30" s="1" t="s">
        <v>583</v>
      </c>
      <c r="D30" s="1" t="s">
        <v>553</v>
      </c>
      <c r="E30" s="1">
        <v>7</v>
      </c>
      <c r="F30" s="2">
        <v>164626</v>
      </c>
      <c r="G30" s="2">
        <v>114564</v>
      </c>
      <c r="H30" s="1" t="s">
        <v>520</v>
      </c>
      <c r="I30" s="1" t="s">
        <v>521</v>
      </c>
      <c r="J30" s="2">
        <v>41424</v>
      </c>
      <c r="K30" s="1">
        <v>626</v>
      </c>
      <c r="L30" s="1" t="s">
        <v>522</v>
      </c>
      <c r="M30" s="2">
        <v>1152382</v>
      </c>
      <c r="N30" s="2">
        <v>801948</v>
      </c>
      <c r="O30" s="2">
        <v>309010</v>
      </c>
      <c r="P30" s="3">
        <v>0.26814892978196464</v>
      </c>
      <c r="Q30">
        <v>1</v>
      </c>
      <c r="R30" t="s">
        <v>1096</v>
      </c>
    </row>
    <row r="31" spans="1:18" ht="15.6">
      <c r="A31" s="1" t="s">
        <v>588</v>
      </c>
      <c r="B31" s="4">
        <v>45844</v>
      </c>
      <c r="C31" s="1" t="s">
        <v>589</v>
      </c>
      <c r="D31" s="1" t="s">
        <v>538</v>
      </c>
      <c r="E31" s="1">
        <v>12</v>
      </c>
      <c r="F31" s="2">
        <v>164456</v>
      </c>
      <c r="G31" s="2">
        <v>91736</v>
      </c>
      <c r="H31" s="1" t="s">
        <v>520</v>
      </c>
      <c r="I31" s="1" t="s">
        <v>521</v>
      </c>
      <c r="J31" s="2">
        <v>17048</v>
      </c>
      <c r="K31" s="1">
        <v>843</v>
      </c>
      <c r="L31" s="1" t="s">
        <v>522</v>
      </c>
      <c r="M31" s="2">
        <v>1973472</v>
      </c>
      <c r="N31" s="2">
        <v>1100832</v>
      </c>
      <c r="O31" s="2">
        <v>855592</v>
      </c>
      <c r="P31" s="3">
        <v>0.43354656159296912</v>
      </c>
      <c r="Q31">
        <v>7</v>
      </c>
      <c r="R31" t="s">
        <v>1100</v>
      </c>
    </row>
    <row r="32" spans="1:18" ht="15.6">
      <c r="A32" s="1" t="s">
        <v>590</v>
      </c>
      <c r="B32" s="4">
        <v>45929</v>
      </c>
      <c r="C32" s="1" t="s">
        <v>555</v>
      </c>
      <c r="D32" s="1" t="s">
        <v>567</v>
      </c>
      <c r="E32" s="1">
        <v>35</v>
      </c>
      <c r="F32" s="2">
        <v>150841</v>
      </c>
      <c r="G32" s="2">
        <v>8067</v>
      </c>
      <c r="H32" s="1" t="s">
        <v>520</v>
      </c>
      <c r="I32" s="1" t="s">
        <v>544</v>
      </c>
      <c r="J32" s="2">
        <v>49794</v>
      </c>
      <c r="K32" s="1">
        <v>619</v>
      </c>
      <c r="L32" s="1" t="s">
        <v>522</v>
      </c>
      <c r="M32" s="2">
        <v>5279435</v>
      </c>
      <c r="N32" s="2">
        <v>282345</v>
      </c>
      <c r="O32" s="2">
        <v>4947296</v>
      </c>
      <c r="P32" s="3">
        <v>0.93708815431954362</v>
      </c>
      <c r="Q32">
        <v>9</v>
      </c>
      <c r="R32" t="s">
        <v>1103</v>
      </c>
    </row>
    <row r="33" spans="1:18" ht="15.6">
      <c r="A33" s="1" t="s">
        <v>591</v>
      </c>
      <c r="B33" s="4">
        <v>45897</v>
      </c>
      <c r="C33" s="1" t="s">
        <v>535</v>
      </c>
      <c r="D33" s="1" t="s">
        <v>538</v>
      </c>
      <c r="E33" s="1">
        <v>29</v>
      </c>
      <c r="F33" s="2">
        <v>155944</v>
      </c>
      <c r="G33" s="2">
        <v>107444</v>
      </c>
      <c r="H33" s="1" t="s">
        <v>520</v>
      </c>
      <c r="I33" s="1" t="s">
        <v>560</v>
      </c>
      <c r="J33" s="2">
        <v>26947</v>
      </c>
      <c r="K33" s="1">
        <v>845</v>
      </c>
      <c r="L33" s="1" t="s">
        <v>522</v>
      </c>
      <c r="M33" s="2">
        <v>4522376</v>
      </c>
      <c r="N33" s="2">
        <v>3115876</v>
      </c>
      <c r="O33" s="2">
        <v>1379553</v>
      </c>
      <c r="P33" s="3">
        <v>0.30505048673529134</v>
      </c>
      <c r="Q33">
        <v>8</v>
      </c>
      <c r="R33" t="s">
        <v>1097</v>
      </c>
    </row>
    <row r="34" spans="1:18" ht="15.6">
      <c r="A34" s="1" t="s">
        <v>592</v>
      </c>
      <c r="B34" s="4">
        <v>45793</v>
      </c>
      <c r="C34" s="1" t="s">
        <v>537</v>
      </c>
      <c r="D34" s="1" t="s">
        <v>547</v>
      </c>
      <c r="E34" s="1">
        <v>59</v>
      </c>
      <c r="F34" s="2">
        <v>71397</v>
      </c>
      <c r="G34" s="2">
        <v>49776</v>
      </c>
      <c r="H34" s="1" t="s">
        <v>520</v>
      </c>
      <c r="I34" s="1" t="s">
        <v>560</v>
      </c>
      <c r="J34" s="2">
        <v>27862</v>
      </c>
      <c r="K34" s="1">
        <v>769</v>
      </c>
      <c r="L34" s="1" t="s">
        <v>522</v>
      </c>
      <c r="M34" s="2">
        <v>4212423</v>
      </c>
      <c r="N34" s="2">
        <v>2936784</v>
      </c>
      <c r="O34" s="2">
        <v>1247777</v>
      </c>
      <c r="P34" s="3">
        <v>0.29621360437923733</v>
      </c>
      <c r="Q34">
        <v>5</v>
      </c>
      <c r="R34" t="s">
        <v>1099</v>
      </c>
    </row>
    <row r="35" spans="1:18" ht="15.6">
      <c r="A35" s="1" t="s">
        <v>593</v>
      </c>
      <c r="B35" s="4">
        <v>45870</v>
      </c>
      <c r="C35" s="1" t="s">
        <v>579</v>
      </c>
      <c r="D35" s="1" t="s">
        <v>547</v>
      </c>
      <c r="E35" s="1">
        <v>63</v>
      </c>
      <c r="F35" s="2">
        <v>113892</v>
      </c>
      <c r="G35" s="2">
        <v>86545</v>
      </c>
      <c r="H35" s="1" t="s">
        <v>520</v>
      </c>
      <c r="I35" s="1" t="s">
        <v>533</v>
      </c>
      <c r="J35" s="2">
        <v>46417</v>
      </c>
      <c r="K35" s="1">
        <v>559</v>
      </c>
      <c r="L35" s="1" t="s">
        <v>526</v>
      </c>
      <c r="M35" s="2">
        <v>7175196</v>
      </c>
      <c r="N35" s="2">
        <v>5452335</v>
      </c>
      <c r="O35" s="2">
        <v>1676444</v>
      </c>
      <c r="P35" s="3">
        <v>0.2336443492275333</v>
      </c>
      <c r="Q35">
        <v>8</v>
      </c>
      <c r="R35" t="s">
        <v>1097</v>
      </c>
    </row>
    <row r="36" spans="1:18" ht="15.6">
      <c r="A36" s="1" t="s">
        <v>594</v>
      </c>
      <c r="B36" s="4">
        <v>45841</v>
      </c>
      <c r="C36" s="1" t="s">
        <v>595</v>
      </c>
      <c r="D36" s="1" t="s">
        <v>563</v>
      </c>
      <c r="E36" s="1">
        <v>31</v>
      </c>
      <c r="F36" s="2">
        <v>109283</v>
      </c>
      <c r="G36" s="2">
        <v>49746</v>
      </c>
      <c r="H36" s="1" t="s">
        <v>520</v>
      </c>
      <c r="I36" s="1" t="s">
        <v>533</v>
      </c>
      <c r="J36" s="2">
        <v>12606</v>
      </c>
      <c r="K36" s="1">
        <v>66</v>
      </c>
      <c r="L36" s="1" t="s">
        <v>522</v>
      </c>
      <c r="M36" s="2">
        <v>3387773</v>
      </c>
      <c r="N36" s="2">
        <v>1542126</v>
      </c>
      <c r="O36" s="2">
        <v>1833041</v>
      </c>
      <c r="P36" s="3">
        <v>0.54107550889625722</v>
      </c>
      <c r="Q36">
        <v>7</v>
      </c>
      <c r="R36" t="s">
        <v>1100</v>
      </c>
    </row>
    <row r="37" spans="1:18" ht="15.6">
      <c r="A37" s="1" t="s">
        <v>596</v>
      </c>
      <c r="B37" s="4">
        <v>45812</v>
      </c>
      <c r="C37" s="1" t="s">
        <v>566</v>
      </c>
      <c r="D37" s="1" t="s">
        <v>556</v>
      </c>
      <c r="E37" s="1">
        <v>4</v>
      </c>
      <c r="F37" s="2">
        <v>18462</v>
      </c>
      <c r="G37" s="2">
        <v>11226</v>
      </c>
      <c r="H37" s="1" t="s">
        <v>520</v>
      </c>
      <c r="I37" s="1" t="s">
        <v>539</v>
      </c>
      <c r="J37" s="2">
        <v>46166</v>
      </c>
      <c r="K37" s="1">
        <v>695</v>
      </c>
      <c r="L37" s="1" t="s">
        <v>526</v>
      </c>
      <c r="M37" s="2">
        <v>73848</v>
      </c>
      <c r="N37" s="2">
        <v>44904</v>
      </c>
      <c r="O37" s="2">
        <v>-17222</v>
      </c>
      <c r="P37" s="3">
        <v>-0.23320875311450548</v>
      </c>
      <c r="Q37">
        <v>6</v>
      </c>
      <c r="R37" t="s">
        <v>1101</v>
      </c>
    </row>
    <row r="38" spans="1:18" ht="15.6">
      <c r="A38" s="1" t="s">
        <v>597</v>
      </c>
      <c r="B38" s="4">
        <v>45695</v>
      </c>
      <c r="C38" s="1" t="s">
        <v>531</v>
      </c>
      <c r="D38" s="1" t="s">
        <v>547</v>
      </c>
      <c r="E38" s="1">
        <v>42</v>
      </c>
      <c r="F38" s="2">
        <v>112627</v>
      </c>
      <c r="G38" s="2">
        <v>53123</v>
      </c>
      <c r="H38" s="1" t="s">
        <v>520</v>
      </c>
      <c r="I38" s="1" t="s">
        <v>560</v>
      </c>
      <c r="J38" s="2">
        <v>42985</v>
      </c>
      <c r="K38" s="1">
        <v>724</v>
      </c>
      <c r="L38" s="1" t="s">
        <v>522</v>
      </c>
      <c r="M38" s="2">
        <v>4730334</v>
      </c>
      <c r="N38" s="2">
        <v>2231166</v>
      </c>
      <c r="O38" s="2">
        <v>2456183</v>
      </c>
      <c r="P38" s="3">
        <v>0.51924092463661131</v>
      </c>
      <c r="Q38">
        <v>2</v>
      </c>
      <c r="R38" t="s">
        <v>1094</v>
      </c>
    </row>
    <row r="39" spans="1:18" ht="15.6">
      <c r="A39" s="1" t="s">
        <v>598</v>
      </c>
      <c r="B39" s="4">
        <v>45768</v>
      </c>
      <c r="C39" s="1" t="s">
        <v>577</v>
      </c>
      <c r="D39" s="1" t="s">
        <v>569</v>
      </c>
      <c r="E39" s="1">
        <v>30</v>
      </c>
      <c r="F39" s="2">
        <v>79176</v>
      </c>
      <c r="G39" s="2">
        <v>57248</v>
      </c>
      <c r="H39" s="1" t="s">
        <v>520</v>
      </c>
      <c r="I39" s="1" t="s">
        <v>539</v>
      </c>
      <c r="J39" s="2">
        <v>48777</v>
      </c>
      <c r="K39" s="1">
        <v>606</v>
      </c>
      <c r="L39" s="1" t="s">
        <v>522</v>
      </c>
      <c r="M39" s="2">
        <v>2375280</v>
      </c>
      <c r="N39" s="2">
        <v>1717440</v>
      </c>
      <c r="O39" s="2">
        <v>609063</v>
      </c>
      <c r="P39" s="3">
        <v>0.25641734869152266</v>
      </c>
      <c r="Q39">
        <v>4</v>
      </c>
      <c r="R39" t="s">
        <v>1098</v>
      </c>
    </row>
    <row r="40" spans="1:18" ht="15.6">
      <c r="A40" s="1" t="s">
        <v>599</v>
      </c>
      <c r="B40" s="4">
        <v>45831</v>
      </c>
      <c r="C40" s="1" t="s">
        <v>600</v>
      </c>
      <c r="D40" s="1" t="s">
        <v>543</v>
      </c>
      <c r="E40" s="1">
        <v>24</v>
      </c>
      <c r="F40" s="2">
        <v>157616</v>
      </c>
      <c r="G40" s="2">
        <v>100383</v>
      </c>
      <c r="H40" s="1" t="s">
        <v>520</v>
      </c>
      <c r="I40" s="1" t="s">
        <v>533</v>
      </c>
      <c r="J40" s="2">
        <v>13512</v>
      </c>
      <c r="K40" s="1">
        <v>767</v>
      </c>
      <c r="L40" s="1" t="s">
        <v>522</v>
      </c>
      <c r="M40" s="2">
        <v>3782784</v>
      </c>
      <c r="N40" s="2">
        <v>2409192</v>
      </c>
      <c r="O40" s="2">
        <v>1360080</v>
      </c>
      <c r="P40" s="3">
        <v>0.35954471627245965</v>
      </c>
      <c r="Q40">
        <v>6</v>
      </c>
      <c r="R40" t="s">
        <v>1101</v>
      </c>
    </row>
    <row r="41" spans="1:18" ht="15.6">
      <c r="A41" s="1" t="s">
        <v>601</v>
      </c>
      <c r="B41" s="4">
        <v>45823</v>
      </c>
      <c r="C41" s="1" t="s">
        <v>518</v>
      </c>
      <c r="D41" s="1" t="s">
        <v>556</v>
      </c>
      <c r="E41" s="1">
        <v>41</v>
      </c>
      <c r="F41" s="2">
        <v>33965</v>
      </c>
      <c r="G41" s="2">
        <v>1605</v>
      </c>
      <c r="H41" s="1" t="s">
        <v>520</v>
      </c>
      <c r="I41" s="1" t="s">
        <v>544</v>
      </c>
      <c r="J41" s="2">
        <v>5278</v>
      </c>
      <c r="K41" s="1">
        <v>746</v>
      </c>
      <c r="L41" s="1" t="s">
        <v>522</v>
      </c>
      <c r="M41" s="2">
        <v>1392565</v>
      </c>
      <c r="N41" s="2">
        <v>65805</v>
      </c>
      <c r="O41" s="2">
        <v>1321482</v>
      </c>
      <c r="P41" s="3">
        <v>0.94895534499287282</v>
      </c>
      <c r="Q41">
        <v>6</v>
      </c>
      <c r="R41" t="s">
        <v>1101</v>
      </c>
    </row>
    <row r="42" spans="1:18" ht="15.6">
      <c r="A42" s="1" t="s">
        <v>602</v>
      </c>
      <c r="B42" s="4">
        <v>45917</v>
      </c>
      <c r="C42" s="1" t="s">
        <v>535</v>
      </c>
      <c r="D42" s="1" t="s">
        <v>584</v>
      </c>
      <c r="E42" s="1">
        <v>60</v>
      </c>
      <c r="F42" s="2">
        <v>85729</v>
      </c>
      <c r="G42" s="2">
        <v>40188</v>
      </c>
      <c r="H42" s="1" t="s">
        <v>520</v>
      </c>
      <c r="I42" s="1" t="s">
        <v>533</v>
      </c>
      <c r="J42" s="2">
        <v>4368</v>
      </c>
      <c r="K42" s="1">
        <v>939</v>
      </c>
      <c r="L42" s="1" t="s">
        <v>522</v>
      </c>
      <c r="M42" s="2">
        <v>5143740</v>
      </c>
      <c r="N42" s="2">
        <v>2411280</v>
      </c>
      <c r="O42" s="2">
        <v>2728092</v>
      </c>
      <c r="P42" s="3">
        <v>0.53037128626252494</v>
      </c>
      <c r="Q42">
        <v>9</v>
      </c>
      <c r="R42" t="s">
        <v>1103</v>
      </c>
    </row>
    <row r="43" spans="1:18" ht="15.6">
      <c r="A43" s="1" t="s">
        <v>603</v>
      </c>
      <c r="B43" s="4">
        <v>45867</v>
      </c>
      <c r="C43" s="1" t="s">
        <v>604</v>
      </c>
      <c r="D43" s="1" t="s">
        <v>529</v>
      </c>
      <c r="E43" s="1">
        <v>77</v>
      </c>
      <c r="F43" s="2">
        <v>17007</v>
      </c>
      <c r="G43" s="2">
        <v>11194</v>
      </c>
      <c r="H43" s="1" t="s">
        <v>520</v>
      </c>
      <c r="I43" s="1" t="s">
        <v>533</v>
      </c>
      <c r="J43" s="2">
        <v>24781</v>
      </c>
      <c r="K43" s="1">
        <v>729</v>
      </c>
      <c r="L43" s="1" t="s">
        <v>526</v>
      </c>
      <c r="M43" s="2">
        <v>1309539</v>
      </c>
      <c r="N43" s="2">
        <v>861938</v>
      </c>
      <c r="O43" s="2">
        <v>422820</v>
      </c>
      <c r="P43" s="3">
        <v>0.32287698189973724</v>
      </c>
      <c r="Q43">
        <v>7</v>
      </c>
      <c r="R43" t="s">
        <v>1100</v>
      </c>
    </row>
    <row r="44" spans="1:18" ht="15.6">
      <c r="A44" s="1" t="s">
        <v>605</v>
      </c>
      <c r="B44" s="4">
        <v>45705</v>
      </c>
      <c r="C44" s="1" t="s">
        <v>579</v>
      </c>
      <c r="D44" s="1" t="s">
        <v>556</v>
      </c>
      <c r="E44" s="1">
        <v>55</v>
      </c>
      <c r="F44" s="2">
        <v>9546</v>
      </c>
      <c r="G44" s="2">
        <v>43531</v>
      </c>
      <c r="H44" s="1" t="s">
        <v>520</v>
      </c>
      <c r="I44" s="1" t="s">
        <v>521</v>
      </c>
      <c r="J44" s="2">
        <v>6207</v>
      </c>
      <c r="K44" s="1">
        <v>621</v>
      </c>
      <c r="L44" s="1" t="s">
        <v>526</v>
      </c>
      <c r="M44" s="2">
        <v>525030</v>
      </c>
      <c r="N44" s="2">
        <v>2394205</v>
      </c>
      <c r="O44" s="2">
        <v>-1875382</v>
      </c>
      <c r="P44" s="3">
        <v>-3.571952078928823</v>
      </c>
      <c r="Q44">
        <v>2</v>
      </c>
      <c r="R44" t="s">
        <v>1094</v>
      </c>
    </row>
    <row r="45" spans="1:18" ht="15.6">
      <c r="A45" s="1" t="s">
        <v>606</v>
      </c>
      <c r="B45" s="4">
        <v>45882</v>
      </c>
      <c r="C45" s="1" t="s">
        <v>607</v>
      </c>
      <c r="D45" s="1" t="s">
        <v>559</v>
      </c>
      <c r="E45" s="1">
        <v>47</v>
      </c>
      <c r="F45" s="2">
        <v>124334</v>
      </c>
      <c r="G45" s="2">
        <v>65696</v>
      </c>
      <c r="H45" s="1" t="s">
        <v>520</v>
      </c>
      <c r="I45" s="1" t="s">
        <v>560</v>
      </c>
      <c r="J45" s="2">
        <v>22096</v>
      </c>
      <c r="K45" s="1">
        <v>824</v>
      </c>
      <c r="L45" s="1" t="s">
        <v>526</v>
      </c>
      <c r="M45" s="2">
        <v>5843698</v>
      </c>
      <c r="N45" s="2">
        <v>3087712</v>
      </c>
      <c r="O45" s="2">
        <v>2733890</v>
      </c>
      <c r="P45" s="3">
        <v>0.46783560683662984</v>
      </c>
      <c r="Q45">
        <v>8</v>
      </c>
      <c r="R45" t="s">
        <v>1097</v>
      </c>
    </row>
    <row r="46" spans="1:18" ht="15.6">
      <c r="A46" s="1" t="s">
        <v>608</v>
      </c>
      <c r="B46" s="4">
        <v>45685</v>
      </c>
      <c r="C46" s="1" t="s">
        <v>551</v>
      </c>
      <c r="D46" s="1" t="s">
        <v>532</v>
      </c>
      <c r="E46" s="1">
        <v>48</v>
      </c>
      <c r="F46" s="2">
        <v>48554</v>
      </c>
      <c r="G46" s="2">
        <v>37784</v>
      </c>
      <c r="H46" s="1" t="s">
        <v>520</v>
      </c>
      <c r="I46" s="1" t="s">
        <v>521</v>
      </c>
      <c r="J46" s="2">
        <v>0</v>
      </c>
      <c r="K46" s="1">
        <v>915</v>
      </c>
      <c r="L46" s="1" t="s">
        <v>522</v>
      </c>
      <c r="M46" s="2">
        <v>2330592</v>
      </c>
      <c r="N46" s="2">
        <v>1813632</v>
      </c>
      <c r="O46" s="2">
        <v>516960</v>
      </c>
      <c r="P46" s="3">
        <v>0.22181488651810355</v>
      </c>
      <c r="Q46">
        <v>1</v>
      </c>
      <c r="R46" t="s">
        <v>1096</v>
      </c>
    </row>
    <row r="47" spans="1:18" ht="15.6">
      <c r="A47" s="1" t="s">
        <v>609</v>
      </c>
      <c r="B47" s="4">
        <v>45666</v>
      </c>
      <c r="C47" s="1" t="s">
        <v>579</v>
      </c>
      <c r="D47" s="1" t="s">
        <v>532</v>
      </c>
      <c r="E47" s="1">
        <v>74</v>
      </c>
      <c r="F47" s="2">
        <v>49613</v>
      </c>
      <c r="G47" s="2">
        <v>24677</v>
      </c>
      <c r="H47" s="1" t="s">
        <v>520</v>
      </c>
      <c r="I47" s="1" t="s">
        <v>533</v>
      </c>
      <c r="J47" s="2">
        <v>41889</v>
      </c>
      <c r="K47" s="1">
        <v>57</v>
      </c>
      <c r="L47" s="1" t="s">
        <v>526</v>
      </c>
      <c r="M47" s="2">
        <v>3671362</v>
      </c>
      <c r="N47" s="2">
        <v>1826098</v>
      </c>
      <c r="O47" s="2">
        <v>1803375</v>
      </c>
      <c r="P47" s="3">
        <v>0.49120054083470932</v>
      </c>
      <c r="Q47">
        <v>1</v>
      </c>
      <c r="R47" t="s">
        <v>1096</v>
      </c>
    </row>
    <row r="48" spans="1:18" ht="15.6">
      <c r="A48" s="1" t="s">
        <v>610</v>
      </c>
      <c r="B48" s="4">
        <v>45668</v>
      </c>
      <c r="C48" s="1" t="s">
        <v>551</v>
      </c>
      <c r="D48" s="1" t="s">
        <v>553</v>
      </c>
      <c r="E48" s="1">
        <v>61</v>
      </c>
      <c r="F48" s="2">
        <v>15488</v>
      </c>
      <c r="G48" s="2">
        <v>8947</v>
      </c>
      <c r="H48" s="1" t="s">
        <v>520</v>
      </c>
      <c r="I48" s="1" t="s">
        <v>544</v>
      </c>
      <c r="J48" s="2">
        <v>49839</v>
      </c>
      <c r="K48" s="1">
        <v>629</v>
      </c>
      <c r="L48" s="1" t="s">
        <v>522</v>
      </c>
      <c r="M48" s="2">
        <v>944768</v>
      </c>
      <c r="N48" s="2">
        <v>545767</v>
      </c>
      <c r="O48" s="2">
        <v>349162</v>
      </c>
      <c r="P48" s="3">
        <v>0.3695743293591654</v>
      </c>
      <c r="Q48">
        <v>1</v>
      </c>
      <c r="R48" t="s">
        <v>1096</v>
      </c>
    </row>
    <row r="49" spans="1:18" ht="15.6">
      <c r="A49" s="1" t="s">
        <v>611</v>
      </c>
      <c r="B49" s="4">
        <v>45834</v>
      </c>
      <c r="C49" s="1" t="s">
        <v>581</v>
      </c>
      <c r="D49" s="1" t="s">
        <v>525</v>
      </c>
      <c r="E49" s="1">
        <v>14</v>
      </c>
      <c r="F49" s="2">
        <v>140698</v>
      </c>
      <c r="G49" s="2">
        <v>97449</v>
      </c>
      <c r="H49" s="1" t="s">
        <v>520</v>
      </c>
      <c r="I49" s="1" t="s">
        <v>521</v>
      </c>
      <c r="J49" s="2">
        <v>766</v>
      </c>
      <c r="K49" s="1">
        <v>723</v>
      </c>
      <c r="L49" s="1" t="s">
        <v>522</v>
      </c>
      <c r="M49" s="2">
        <v>1969772</v>
      </c>
      <c r="N49" s="2">
        <v>1364286</v>
      </c>
      <c r="O49" s="2">
        <v>604720</v>
      </c>
      <c r="P49" s="3">
        <v>0.3069999979693081</v>
      </c>
      <c r="Q49">
        <v>6</v>
      </c>
      <c r="R49" t="s">
        <v>1101</v>
      </c>
    </row>
    <row r="50" spans="1:18" ht="15.6">
      <c r="A50" s="1" t="s">
        <v>612</v>
      </c>
      <c r="B50" s="4">
        <v>45876</v>
      </c>
      <c r="C50" s="1" t="s">
        <v>571</v>
      </c>
      <c r="D50" s="1" t="s">
        <v>525</v>
      </c>
      <c r="E50" s="1">
        <v>57</v>
      </c>
      <c r="F50" s="2">
        <v>68466</v>
      </c>
      <c r="G50" s="2">
        <v>31767</v>
      </c>
      <c r="H50" s="1" t="s">
        <v>520</v>
      </c>
      <c r="I50" s="1" t="s">
        <v>560</v>
      </c>
      <c r="J50" s="2">
        <v>64889</v>
      </c>
      <c r="K50" s="1">
        <v>587</v>
      </c>
      <c r="L50" s="1" t="s">
        <v>522</v>
      </c>
      <c r="M50" s="2">
        <v>3902562</v>
      </c>
      <c r="N50" s="2">
        <v>1810719</v>
      </c>
      <c r="O50" s="2">
        <v>2026954</v>
      </c>
      <c r="P50" s="3">
        <v>0.51939059520386865</v>
      </c>
      <c r="Q50">
        <v>8</v>
      </c>
      <c r="R50" t="s">
        <v>1097</v>
      </c>
    </row>
    <row r="51" spans="1:18" ht="15.6">
      <c r="A51" s="1" t="s">
        <v>613</v>
      </c>
      <c r="B51" s="4">
        <v>46018</v>
      </c>
      <c r="C51" s="1" t="s">
        <v>566</v>
      </c>
      <c r="D51" s="1" t="s">
        <v>519</v>
      </c>
      <c r="E51" s="1">
        <v>79</v>
      </c>
      <c r="F51" s="2">
        <v>57119</v>
      </c>
      <c r="G51" s="2">
        <v>42979</v>
      </c>
      <c r="H51" s="1" t="s">
        <v>520</v>
      </c>
      <c r="I51" s="1" t="s">
        <v>521</v>
      </c>
      <c r="J51" s="2">
        <v>12358</v>
      </c>
      <c r="K51" s="1">
        <v>876</v>
      </c>
      <c r="L51" s="1" t="s">
        <v>526</v>
      </c>
      <c r="M51" s="2">
        <v>4512401</v>
      </c>
      <c r="N51" s="2">
        <v>3395341</v>
      </c>
      <c r="O51" s="2">
        <v>1104702</v>
      </c>
      <c r="P51" s="3">
        <v>0.24481467848269692</v>
      </c>
      <c r="Q51">
        <v>12</v>
      </c>
      <c r="R51" t="s">
        <v>1102</v>
      </c>
    </row>
    <row r="52" spans="1:18" ht="15.6">
      <c r="A52" s="1" t="s">
        <v>614</v>
      </c>
      <c r="B52" s="4">
        <v>45746</v>
      </c>
      <c r="C52" s="1" t="s">
        <v>531</v>
      </c>
      <c r="D52" s="1" t="s">
        <v>525</v>
      </c>
      <c r="E52" s="1">
        <v>57</v>
      </c>
      <c r="F52" s="2">
        <v>179529</v>
      </c>
      <c r="G52" s="2">
        <v>128807</v>
      </c>
      <c r="H52" s="1" t="s">
        <v>520</v>
      </c>
      <c r="I52" s="1" t="s">
        <v>544</v>
      </c>
      <c r="J52" s="2">
        <v>47572</v>
      </c>
      <c r="K52" s="1">
        <v>725</v>
      </c>
      <c r="L52" s="1" t="s">
        <v>522</v>
      </c>
      <c r="M52" s="2">
        <v>10233153</v>
      </c>
      <c r="N52" s="2">
        <v>7341999</v>
      </c>
      <c r="O52" s="2">
        <v>2843582</v>
      </c>
      <c r="P52" s="3">
        <v>0.27787935937242414</v>
      </c>
      <c r="Q52">
        <v>3</v>
      </c>
      <c r="R52" t="s">
        <v>1104</v>
      </c>
    </row>
    <row r="53" spans="1:18" ht="15.6">
      <c r="A53" s="1" t="s">
        <v>615</v>
      </c>
      <c r="B53" s="4">
        <v>45915</v>
      </c>
      <c r="C53" s="1" t="s">
        <v>574</v>
      </c>
      <c r="D53" s="1" t="s">
        <v>553</v>
      </c>
      <c r="E53" s="1">
        <v>8</v>
      </c>
      <c r="F53" s="2">
        <v>150999</v>
      </c>
      <c r="G53" s="2">
        <v>93766</v>
      </c>
      <c r="H53" s="1" t="s">
        <v>520</v>
      </c>
      <c r="I53" s="1" t="s">
        <v>521</v>
      </c>
      <c r="J53" s="2">
        <v>14718</v>
      </c>
      <c r="K53" s="1">
        <v>917</v>
      </c>
      <c r="L53" s="1" t="s">
        <v>522</v>
      </c>
      <c r="M53" s="2">
        <v>1207992</v>
      </c>
      <c r="N53" s="2">
        <v>750128</v>
      </c>
      <c r="O53" s="2">
        <v>443146</v>
      </c>
      <c r="P53" s="3">
        <v>0.36684514466983226</v>
      </c>
      <c r="Q53">
        <v>9</v>
      </c>
      <c r="R53" t="s">
        <v>1103</v>
      </c>
    </row>
    <row r="54" spans="1:18" ht="15.6">
      <c r="A54" s="1" t="s">
        <v>616</v>
      </c>
      <c r="B54" s="4">
        <v>45810</v>
      </c>
      <c r="C54" s="1" t="s">
        <v>566</v>
      </c>
      <c r="D54" s="1" t="s">
        <v>547</v>
      </c>
      <c r="E54" s="1">
        <v>8</v>
      </c>
      <c r="F54" s="2">
        <v>3519</v>
      </c>
      <c r="G54" s="2">
        <v>20662</v>
      </c>
      <c r="H54" s="1" t="s">
        <v>520</v>
      </c>
      <c r="I54" s="1" t="s">
        <v>521</v>
      </c>
      <c r="J54" s="2">
        <v>25412</v>
      </c>
      <c r="K54" s="1">
        <v>522</v>
      </c>
      <c r="L54" s="1" t="s">
        <v>522</v>
      </c>
      <c r="M54" s="2">
        <v>28152</v>
      </c>
      <c r="N54" s="2">
        <v>165296</v>
      </c>
      <c r="O54" s="2">
        <v>-162556</v>
      </c>
      <c r="P54" s="3">
        <v>-5.7742256322818983</v>
      </c>
      <c r="Q54">
        <v>6</v>
      </c>
      <c r="R54" t="s">
        <v>1101</v>
      </c>
    </row>
    <row r="55" spans="1:18" ht="15.6">
      <c r="A55" s="1" t="s">
        <v>617</v>
      </c>
      <c r="B55" s="4">
        <v>45878</v>
      </c>
      <c r="C55" s="1" t="s">
        <v>558</v>
      </c>
      <c r="D55" s="1" t="s">
        <v>567</v>
      </c>
      <c r="E55" s="1">
        <v>34</v>
      </c>
      <c r="F55" s="2">
        <v>133131</v>
      </c>
      <c r="G55" s="2">
        <v>93468</v>
      </c>
      <c r="H55" s="1" t="s">
        <v>520</v>
      </c>
      <c r="I55" s="1" t="s">
        <v>533</v>
      </c>
      <c r="J55" s="2">
        <v>29035</v>
      </c>
      <c r="K55" s="1">
        <v>735</v>
      </c>
      <c r="L55" s="1" t="s">
        <v>522</v>
      </c>
      <c r="M55" s="2">
        <v>4526454</v>
      </c>
      <c r="N55" s="2">
        <v>3177912</v>
      </c>
      <c r="O55" s="2">
        <v>1319507</v>
      </c>
      <c r="P55" s="3">
        <v>0.29151008714547855</v>
      </c>
      <c r="Q55">
        <v>8</v>
      </c>
      <c r="R55" t="s">
        <v>1097</v>
      </c>
    </row>
    <row r="56" spans="1:18" ht="15.6">
      <c r="A56" s="1" t="s">
        <v>618</v>
      </c>
      <c r="B56" s="4">
        <v>45800</v>
      </c>
      <c r="C56" s="1" t="s">
        <v>537</v>
      </c>
      <c r="D56" s="1" t="s">
        <v>584</v>
      </c>
      <c r="E56" s="1">
        <v>29</v>
      </c>
      <c r="F56" s="2">
        <v>169936</v>
      </c>
      <c r="G56" s="2">
        <v>131555</v>
      </c>
      <c r="H56" s="1" t="s">
        <v>520</v>
      </c>
      <c r="I56" s="1" t="s">
        <v>521</v>
      </c>
      <c r="J56" s="2">
        <v>46414</v>
      </c>
      <c r="K56" s="1">
        <v>695</v>
      </c>
      <c r="L56" s="1" t="s">
        <v>526</v>
      </c>
      <c r="M56" s="2">
        <v>4928144</v>
      </c>
      <c r="N56" s="2">
        <v>3815095</v>
      </c>
      <c r="O56" s="2">
        <v>1066635</v>
      </c>
      <c r="P56" s="3">
        <v>0.21643746611300319</v>
      </c>
      <c r="Q56">
        <v>5</v>
      </c>
      <c r="R56" t="s">
        <v>1099</v>
      </c>
    </row>
    <row r="57" spans="1:18" ht="15.6">
      <c r="A57" s="1" t="s">
        <v>619</v>
      </c>
      <c r="B57" s="4">
        <v>45738</v>
      </c>
      <c r="C57" s="1" t="s">
        <v>577</v>
      </c>
      <c r="D57" s="1" t="s">
        <v>556</v>
      </c>
      <c r="E57" s="1">
        <v>61</v>
      </c>
      <c r="F57" s="2">
        <v>90121</v>
      </c>
      <c r="G57" s="2">
        <v>46486</v>
      </c>
      <c r="H57" s="1" t="s">
        <v>520</v>
      </c>
      <c r="I57" s="1" t="s">
        <v>544</v>
      </c>
      <c r="J57" s="2">
        <v>22125</v>
      </c>
      <c r="K57" s="1">
        <v>48</v>
      </c>
      <c r="L57" s="1" t="s">
        <v>522</v>
      </c>
      <c r="M57" s="2">
        <v>5497381</v>
      </c>
      <c r="N57" s="2">
        <v>2835646</v>
      </c>
      <c r="O57" s="2">
        <v>2639610</v>
      </c>
      <c r="P57" s="3">
        <v>0.48015773329154376</v>
      </c>
      <c r="Q57">
        <v>3</v>
      </c>
      <c r="R57" t="s">
        <v>1104</v>
      </c>
    </row>
    <row r="58" spans="1:18" ht="15.6">
      <c r="A58" s="1" t="s">
        <v>620</v>
      </c>
      <c r="B58" s="4">
        <v>45861</v>
      </c>
      <c r="C58" s="1" t="s">
        <v>595</v>
      </c>
      <c r="D58" s="1" t="s">
        <v>569</v>
      </c>
      <c r="E58" s="1">
        <v>24</v>
      </c>
      <c r="F58" s="2">
        <v>169097</v>
      </c>
      <c r="G58" s="2">
        <v>129783</v>
      </c>
      <c r="H58" s="1" t="s">
        <v>520</v>
      </c>
      <c r="I58" s="1" t="s">
        <v>533</v>
      </c>
      <c r="J58" s="2">
        <v>5556</v>
      </c>
      <c r="K58" s="1">
        <v>734</v>
      </c>
      <c r="L58" s="1" t="s">
        <v>522</v>
      </c>
      <c r="M58" s="2">
        <v>4058328</v>
      </c>
      <c r="N58" s="2">
        <v>3114792</v>
      </c>
      <c r="O58" s="2">
        <v>937980</v>
      </c>
      <c r="P58" s="3">
        <v>0.23112473905509856</v>
      </c>
      <c r="Q58">
        <v>7</v>
      </c>
      <c r="R58" t="s">
        <v>1100</v>
      </c>
    </row>
    <row r="59" spans="1:18" ht="15.6">
      <c r="A59" s="1" t="s">
        <v>621</v>
      </c>
      <c r="B59" s="4">
        <v>46018</v>
      </c>
      <c r="C59" s="1" t="s">
        <v>604</v>
      </c>
      <c r="D59" s="1" t="s">
        <v>584</v>
      </c>
      <c r="E59" s="1">
        <v>16</v>
      </c>
      <c r="F59" s="2">
        <v>117858</v>
      </c>
      <c r="G59" s="2">
        <v>8962</v>
      </c>
      <c r="H59" s="1" t="s">
        <v>520</v>
      </c>
      <c r="I59" s="1" t="s">
        <v>560</v>
      </c>
      <c r="J59" s="2">
        <v>18251</v>
      </c>
      <c r="K59" s="1">
        <v>929</v>
      </c>
      <c r="L59" s="1" t="s">
        <v>526</v>
      </c>
      <c r="M59" s="2">
        <v>1885728</v>
      </c>
      <c r="N59" s="2">
        <v>143392</v>
      </c>
      <c r="O59" s="2">
        <v>1724085</v>
      </c>
      <c r="P59" s="3">
        <v>0.91428085068472231</v>
      </c>
      <c r="Q59">
        <v>12</v>
      </c>
      <c r="R59" t="s">
        <v>1102</v>
      </c>
    </row>
    <row r="60" spans="1:18" ht="15.6">
      <c r="A60" s="1" t="s">
        <v>622</v>
      </c>
      <c r="B60" s="4">
        <v>45736</v>
      </c>
      <c r="C60" s="1" t="s">
        <v>566</v>
      </c>
      <c r="D60" s="1" t="s">
        <v>525</v>
      </c>
      <c r="E60" s="1">
        <v>78</v>
      </c>
      <c r="F60" s="2">
        <v>72263</v>
      </c>
      <c r="G60" s="2">
        <v>49257</v>
      </c>
      <c r="H60" s="1" t="s">
        <v>520</v>
      </c>
      <c r="I60" s="1" t="s">
        <v>560</v>
      </c>
      <c r="J60" s="2">
        <v>5312</v>
      </c>
      <c r="K60" s="1">
        <v>863</v>
      </c>
      <c r="L60" s="1" t="s">
        <v>522</v>
      </c>
      <c r="M60" s="2">
        <v>5636514</v>
      </c>
      <c r="N60" s="2">
        <v>3842046</v>
      </c>
      <c r="O60" s="2">
        <v>1789156</v>
      </c>
      <c r="P60" s="3">
        <v>0.31742243521438962</v>
      </c>
      <c r="Q60">
        <v>3</v>
      </c>
      <c r="R60" t="s">
        <v>1104</v>
      </c>
    </row>
    <row r="61" spans="1:18" ht="15.6">
      <c r="A61" s="1" t="s">
        <v>623</v>
      </c>
      <c r="B61" s="4">
        <v>46016</v>
      </c>
      <c r="C61" s="1" t="s">
        <v>535</v>
      </c>
      <c r="D61" s="1" t="s">
        <v>532</v>
      </c>
      <c r="E61" s="1">
        <v>8</v>
      </c>
      <c r="F61" s="2">
        <v>168748</v>
      </c>
      <c r="G61" s="2">
        <v>7978</v>
      </c>
      <c r="H61" s="1" t="s">
        <v>520</v>
      </c>
      <c r="I61" s="1" t="s">
        <v>533</v>
      </c>
      <c r="J61" s="2">
        <v>22225</v>
      </c>
      <c r="K61" s="1">
        <v>54</v>
      </c>
      <c r="L61" s="1" t="s">
        <v>522</v>
      </c>
      <c r="M61" s="2">
        <v>1349984</v>
      </c>
      <c r="N61" s="2">
        <v>63824</v>
      </c>
      <c r="O61" s="2">
        <v>1263935</v>
      </c>
      <c r="P61" s="3">
        <v>0.93625924455400955</v>
      </c>
      <c r="Q61">
        <v>12</v>
      </c>
      <c r="R61" t="s">
        <v>1102</v>
      </c>
    </row>
    <row r="62" spans="1:18" ht="15.6">
      <c r="A62" s="1" t="s">
        <v>624</v>
      </c>
      <c r="B62" s="4">
        <v>45726</v>
      </c>
      <c r="C62" s="1" t="s">
        <v>579</v>
      </c>
      <c r="D62" s="1" t="s">
        <v>553</v>
      </c>
      <c r="E62" s="1">
        <v>45</v>
      </c>
      <c r="F62" s="2">
        <v>28405</v>
      </c>
      <c r="G62" s="2">
        <v>22089</v>
      </c>
      <c r="H62" s="1" t="s">
        <v>520</v>
      </c>
      <c r="I62" s="1" t="s">
        <v>560</v>
      </c>
      <c r="J62" s="2">
        <v>12641</v>
      </c>
      <c r="K62" s="1">
        <v>939</v>
      </c>
      <c r="L62" s="1" t="s">
        <v>522</v>
      </c>
      <c r="M62" s="2">
        <v>1278225</v>
      </c>
      <c r="N62" s="2">
        <v>994005</v>
      </c>
      <c r="O62" s="2">
        <v>271579</v>
      </c>
      <c r="P62" s="3">
        <v>0.21246572395313815</v>
      </c>
      <c r="Q62">
        <v>3</v>
      </c>
      <c r="R62" t="s">
        <v>1104</v>
      </c>
    </row>
    <row r="63" spans="1:18" ht="15.6">
      <c r="A63" s="1" t="s">
        <v>625</v>
      </c>
      <c r="B63" s="4">
        <v>45886</v>
      </c>
      <c r="C63" s="1" t="s">
        <v>528</v>
      </c>
      <c r="D63" s="1" t="s">
        <v>556</v>
      </c>
      <c r="E63" s="1">
        <v>7</v>
      </c>
      <c r="F63" s="2">
        <v>50094</v>
      </c>
      <c r="G63" s="2">
        <v>23274</v>
      </c>
      <c r="H63" s="1" t="s">
        <v>520</v>
      </c>
      <c r="I63" s="1" t="s">
        <v>521</v>
      </c>
      <c r="J63" s="2">
        <v>37386</v>
      </c>
      <c r="K63" s="1">
        <v>827</v>
      </c>
      <c r="L63" s="1" t="s">
        <v>522</v>
      </c>
      <c r="M63" s="2">
        <v>350658</v>
      </c>
      <c r="N63" s="2">
        <v>162918</v>
      </c>
      <c r="O63" s="2">
        <v>150354</v>
      </c>
      <c r="P63" s="3">
        <v>0.42877675683999794</v>
      </c>
      <c r="Q63">
        <v>8</v>
      </c>
      <c r="R63" t="s">
        <v>1097</v>
      </c>
    </row>
    <row r="64" spans="1:18" ht="15.6">
      <c r="A64" s="1" t="s">
        <v>626</v>
      </c>
      <c r="B64" s="4">
        <v>45729</v>
      </c>
      <c r="C64" s="1" t="s">
        <v>555</v>
      </c>
      <c r="D64" s="1" t="s">
        <v>584</v>
      </c>
      <c r="E64" s="1">
        <v>30</v>
      </c>
      <c r="F64" s="2">
        <v>148315</v>
      </c>
      <c r="G64" s="2">
        <v>102545</v>
      </c>
      <c r="H64" s="1" t="s">
        <v>520</v>
      </c>
      <c r="I64" s="1" t="s">
        <v>560</v>
      </c>
      <c r="J64" s="2">
        <v>40875</v>
      </c>
      <c r="K64" s="1">
        <v>786</v>
      </c>
      <c r="L64" s="1" t="s">
        <v>522</v>
      </c>
      <c r="M64" s="2">
        <v>4449450</v>
      </c>
      <c r="N64" s="2">
        <v>3076350</v>
      </c>
      <c r="O64" s="2">
        <v>1332225</v>
      </c>
      <c r="P64" s="3">
        <v>0.29941341064625965</v>
      </c>
      <c r="Q64">
        <v>3</v>
      </c>
      <c r="R64" t="s">
        <v>1104</v>
      </c>
    </row>
    <row r="65" spans="1:18" ht="15.6">
      <c r="A65" s="1" t="s">
        <v>627</v>
      </c>
      <c r="B65" s="4">
        <v>45747</v>
      </c>
      <c r="C65" s="1" t="s">
        <v>579</v>
      </c>
      <c r="D65" s="1" t="s">
        <v>556</v>
      </c>
      <c r="E65" s="1">
        <v>55</v>
      </c>
      <c r="F65" s="2">
        <v>103606</v>
      </c>
      <c r="G65" s="2">
        <v>48226</v>
      </c>
      <c r="H65" s="1" t="s">
        <v>520</v>
      </c>
      <c r="I65" s="1" t="s">
        <v>539</v>
      </c>
      <c r="J65" s="2">
        <v>52148</v>
      </c>
      <c r="K65" s="1">
        <v>609</v>
      </c>
      <c r="L65" s="1" t="s">
        <v>526</v>
      </c>
      <c r="M65" s="2">
        <v>5698330</v>
      </c>
      <c r="N65" s="2">
        <v>2652430</v>
      </c>
      <c r="O65" s="2">
        <v>2993752</v>
      </c>
      <c r="P65" s="3">
        <v>0.52537357436301513</v>
      </c>
      <c r="Q65">
        <v>3</v>
      </c>
      <c r="R65" t="s">
        <v>1104</v>
      </c>
    </row>
    <row r="66" spans="1:18" ht="15.6">
      <c r="A66" s="1" t="s">
        <v>628</v>
      </c>
      <c r="B66" s="4">
        <v>46001</v>
      </c>
      <c r="C66" s="1" t="s">
        <v>537</v>
      </c>
      <c r="D66" s="1" t="s">
        <v>519</v>
      </c>
      <c r="E66" s="1">
        <v>62</v>
      </c>
      <c r="F66" s="2">
        <v>43929</v>
      </c>
      <c r="G66" s="2">
        <v>32917</v>
      </c>
      <c r="H66" s="1" t="s">
        <v>520</v>
      </c>
      <c r="I66" s="1" t="s">
        <v>533</v>
      </c>
      <c r="J66" s="2">
        <v>17708</v>
      </c>
      <c r="K66" s="1">
        <v>545</v>
      </c>
      <c r="L66" s="1" t="s">
        <v>522</v>
      </c>
      <c r="M66" s="2">
        <v>2723598</v>
      </c>
      <c r="N66" s="2">
        <v>2040854</v>
      </c>
      <c r="O66" s="2">
        <v>665036</v>
      </c>
      <c r="P66" s="3">
        <v>0.24417553544979839</v>
      </c>
      <c r="Q66">
        <v>12</v>
      </c>
      <c r="R66" t="s">
        <v>1102</v>
      </c>
    </row>
    <row r="67" spans="1:18" ht="15.6">
      <c r="A67" s="1" t="s">
        <v>629</v>
      </c>
      <c r="B67" s="4">
        <v>45931</v>
      </c>
      <c r="C67" s="1" t="s">
        <v>579</v>
      </c>
      <c r="D67" s="1" t="s">
        <v>529</v>
      </c>
      <c r="E67" s="1">
        <v>40</v>
      </c>
      <c r="F67" s="2">
        <v>52989</v>
      </c>
      <c r="G67" s="2">
        <v>32812</v>
      </c>
      <c r="H67" s="1" t="s">
        <v>520</v>
      </c>
      <c r="I67" s="1" t="s">
        <v>539</v>
      </c>
      <c r="J67" s="2">
        <v>10916</v>
      </c>
      <c r="K67" s="1">
        <v>941</v>
      </c>
      <c r="L67" s="1" t="s">
        <v>526</v>
      </c>
      <c r="M67" s="2">
        <v>2119560</v>
      </c>
      <c r="N67" s="2">
        <v>1312480</v>
      </c>
      <c r="O67" s="2">
        <v>796164</v>
      </c>
      <c r="P67" s="3">
        <v>0.37562701692804168</v>
      </c>
      <c r="Q67">
        <v>10</v>
      </c>
      <c r="R67" t="s">
        <v>1095</v>
      </c>
    </row>
    <row r="68" spans="1:18" ht="15.6">
      <c r="A68" s="1" t="s">
        <v>630</v>
      </c>
      <c r="B68" s="4">
        <v>45954</v>
      </c>
      <c r="C68" s="1" t="s">
        <v>589</v>
      </c>
      <c r="D68" s="1" t="s">
        <v>559</v>
      </c>
      <c r="E68" s="1">
        <v>38</v>
      </c>
      <c r="F68" s="2">
        <v>34215</v>
      </c>
      <c r="G68" s="2">
        <v>19121</v>
      </c>
      <c r="H68" s="1" t="s">
        <v>520</v>
      </c>
      <c r="I68" s="1" t="s">
        <v>560</v>
      </c>
      <c r="J68" s="2">
        <v>55002</v>
      </c>
      <c r="K68" s="1">
        <v>7</v>
      </c>
      <c r="L68" s="1" t="s">
        <v>522</v>
      </c>
      <c r="M68" s="2">
        <v>1300170</v>
      </c>
      <c r="N68" s="2">
        <v>726598</v>
      </c>
      <c r="O68" s="2">
        <v>518570</v>
      </c>
      <c r="P68" s="3">
        <v>0.39884784297438025</v>
      </c>
      <c r="Q68">
        <v>10</v>
      </c>
      <c r="R68" t="s">
        <v>1095</v>
      </c>
    </row>
    <row r="69" spans="1:18" ht="15.6">
      <c r="A69" s="1" t="s">
        <v>631</v>
      </c>
      <c r="B69" s="4">
        <v>45789</v>
      </c>
      <c r="C69" s="1" t="s">
        <v>604</v>
      </c>
      <c r="D69" s="1" t="s">
        <v>553</v>
      </c>
      <c r="E69" s="1">
        <v>63</v>
      </c>
      <c r="F69" s="2">
        <v>174239</v>
      </c>
      <c r="G69" s="2">
        <v>115304</v>
      </c>
      <c r="H69" s="1" t="s">
        <v>520</v>
      </c>
      <c r="I69" s="1" t="s">
        <v>539</v>
      </c>
      <c r="J69" s="2">
        <v>15094</v>
      </c>
      <c r="K69" s="1">
        <v>847</v>
      </c>
      <c r="L69" s="1" t="s">
        <v>522</v>
      </c>
      <c r="M69" s="2">
        <v>10977057</v>
      </c>
      <c r="N69" s="2">
        <v>7264152</v>
      </c>
      <c r="O69" s="2">
        <v>3697811</v>
      </c>
      <c r="P69" s="3">
        <v>0.33686724957336017</v>
      </c>
      <c r="Q69">
        <v>5</v>
      </c>
      <c r="R69" t="s">
        <v>1099</v>
      </c>
    </row>
    <row r="70" spans="1:18" ht="15.6">
      <c r="A70" s="1" t="s">
        <v>632</v>
      </c>
      <c r="B70" s="4">
        <v>45891</v>
      </c>
      <c r="C70" s="1" t="s">
        <v>600</v>
      </c>
      <c r="D70" s="1" t="s">
        <v>543</v>
      </c>
      <c r="E70" s="1">
        <v>80</v>
      </c>
      <c r="F70" s="2">
        <v>117689</v>
      </c>
      <c r="G70" s="2">
        <v>8923</v>
      </c>
      <c r="H70" s="1" t="s">
        <v>520</v>
      </c>
      <c r="I70" s="1" t="s">
        <v>539</v>
      </c>
      <c r="J70" s="2">
        <v>5944</v>
      </c>
      <c r="K70" s="1">
        <v>716</v>
      </c>
      <c r="L70" s="1" t="s">
        <v>526</v>
      </c>
      <c r="M70" s="2">
        <v>9415120</v>
      </c>
      <c r="N70" s="2">
        <v>713840</v>
      </c>
      <c r="O70" s="2">
        <v>8695336</v>
      </c>
      <c r="P70" s="3">
        <v>0.92355020435214841</v>
      </c>
      <c r="Q70">
        <v>8</v>
      </c>
      <c r="R70" t="s">
        <v>1097</v>
      </c>
    </row>
    <row r="71" spans="1:18" ht="15.6">
      <c r="A71" s="1" t="s">
        <v>633</v>
      </c>
      <c r="B71" s="4">
        <v>45707</v>
      </c>
      <c r="C71" s="1" t="s">
        <v>555</v>
      </c>
      <c r="D71" s="1" t="s">
        <v>538</v>
      </c>
      <c r="E71" s="1">
        <v>31</v>
      </c>
      <c r="F71" s="2">
        <v>41012</v>
      </c>
      <c r="G71" s="2">
        <v>2558</v>
      </c>
      <c r="H71" s="1" t="s">
        <v>520</v>
      </c>
      <c r="I71" s="1" t="s">
        <v>544</v>
      </c>
      <c r="J71" s="2">
        <v>52696</v>
      </c>
      <c r="K71" s="1">
        <v>49</v>
      </c>
      <c r="L71" s="1" t="s">
        <v>526</v>
      </c>
      <c r="M71" s="2">
        <v>1271372</v>
      </c>
      <c r="N71" s="2">
        <v>79298</v>
      </c>
      <c r="O71" s="2">
        <v>1139378</v>
      </c>
      <c r="P71" s="3">
        <v>0.89617987496971774</v>
      </c>
      <c r="Q71">
        <v>2</v>
      </c>
      <c r="R71" t="s">
        <v>1094</v>
      </c>
    </row>
    <row r="72" spans="1:18" ht="15.6">
      <c r="A72" s="1" t="s">
        <v>634</v>
      </c>
      <c r="B72" s="4">
        <v>45901</v>
      </c>
      <c r="C72" s="1" t="s">
        <v>607</v>
      </c>
      <c r="D72" s="1" t="s">
        <v>556</v>
      </c>
      <c r="E72" s="1">
        <v>2</v>
      </c>
      <c r="F72" s="2">
        <v>128889</v>
      </c>
      <c r="G72" s="2">
        <v>61517</v>
      </c>
      <c r="H72" s="1" t="s">
        <v>520</v>
      </c>
      <c r="I72" s="1" t="s">
        <v>544</v>
      </c>
      <c r="J72" s="2">
        <v>38951</v>
      </c>
      <c r="K72" s="1">
        <v>879</v>
      </c>
      <c r="L72" s="1" t="s">
        <v>522</v>
      </c>
      <c r="M72" s="2">
        <v>257778</v>
      </c>
      <c r="N72" s="2">
        <v>123034</v>
      </c>
      <c r="O72" s="2">
        <v>95793</v>
      </c>
      <c r="P72" s="3">
        <v>0.37161045550822802</v>
      </c>
      <c r="Q72">
        <v>9</v>
      </c>
      <c r="R72" t="s">
        <v>1103</v>
      </c>
    </row>
    <row r="73" spans="1:18" ht="15.6">
      <c r="A73" s="1" t="s">
        <v>635</v>
      </c>
      <c r="B73" s="4">
        <v>45697</v>
      </c>
      <c r="C73" s="1" t="s">
        <v>636</v>
      </c>
      <c r="D73" s="1" t="s">
        <v>538</v>
      </c>
      <c r="E73" s="1">
        <v>73</v>
      </c>
      <c r="F73" s="2">
        <v>49361</v>
      </c>
      <c r="G73" s="2">
        <v>35808</v>
      </c>
      <c r="H73" s="1" t="s">
        <v>520</v>
      </c>
      <c r="I73" s="1" t="s">
        <v>560</v>
      </c>
      <c r="J73" s="2">
        <v>24904</v>
      </c>
      <c r="K73" s="1">
        <v>828</v>
      </c>
      <c r="L73" s="1" t="s">
        <v>522</v>
      </c>
      <c r="M73" s="2">
        <v>3603353</v>
      </c>
      <c r="N73" s="2">
        <v>2613984</v>
      </c>
      <c r="O73" s="2">
        <v>964465</v>
      </c>
      <c r="P73" s="3">
        <v>0.26765765108220041</v>
      </c>
      <c r="Q73">
        <v>2</v>
      </c>
      <c r="R73" t="s">
        <v>1094</v>
      </c>
    </row>
    <row r="74" spans="1:18" ht="15.6">
      <c r="A74" s="1" t="s">
        <v>637</v>
      </c>
      <c r="B74" s="4">
        <v>45972</v>
      </c>
      <c r="C74" s="1" t="s">
        <v>528</v>
      </c>
      <c r="D74" s="1" t="s">
        <v>559</v>
      </c>
      <c r="E74" s="1">
        <v>42</v>
      </c>
      <c r="F74" s="2">
        <v>13096</v>
      </c>
      <c r="G74" s="2">
        <v>7074</v>
      </c>
      <c r="H74" s="1" t="s">
        <v>520</v>
      </c>
      <c r="I74" s="1" t="s">
        <v>539</v>
      </c>
      <c r="J74" s="2">
        <v>18688</v>
      </c>
      <c r="K74" s="1">
        <v>727</v>
      </c>
      <c r="L74" s="1" t="s">
        <v>526</v>
      </c>
      <c r="M74" s="2">
        <v>550032</v>
      </c>
      <c r="N74" s="2">
        <v>297108</v>
      </c>
      <c r="O74" s="2">
        <v>234236</v>
      </c>
      <c r="P74" s="3">
        <v>0.42585885912092386</v>
      </c>
      <c r="Q74">
        <v>11</v>
      </c>
      <c r="R74" t="s">
        <v>1105</v>
      </c>
    </row>
    <row r="75" spans="1:18" ht="15.6">
      <c r="A75" s="1" t="s">
        <v>638</v>
      </c>
      <c r="B75" s="4">
        <v>45782</v>
      </c>
      <c r="C75" s="1" t="s">
        <v>583</v>
      </c>
      <c r="D75" s="1" t="s">
        <v>532</v>
      </c>
      <c r="E75" s="1">
        <v>22</v>
      </c>
      <c r="F75" s="2">
        <v>125874</v>
      </c>
      <c r="G75" s="2">
        <v>63684</v>
      </c>
      <c r="H75" s="1" t="s">
        <v>520</v>
      </c>
      <c r="I75" s="1" t="s">
        <v>544</v>
      </c>
      <c r="J75" s="2">
        <v>21104</v>
      </c>
      <c r="K75" s="1">
        <v>523</v>
      </c>
      <c r="L75" s="1" t="s">
        <v>522</v>
      </c>
      <c r="M75" s="2">
        <v>2769228</v>
      </c>
      <c r="N75" s="2">
        <v>1401048</v>
      </c>
      <c r="O75" s="2">
        <v>1347076</v>
      </c>
      <c r="P75" s="3">
        <v>0.48644459755570868</v>
      </c>
      <c r="Q75">
        <v>5</v>
      </c>
      <c r="R75" t="s">
        <v>1099</v>
      </c>
    </row>
    <row r="76" spans="1:18" ht="15.6">
      <c r="A76" s="1" t="s">
        <v>639</v>
      </c>
      <c r="B76" s="4">
        <v>45758</v>
      </c>
      <c r="C76" s="1" t="s">
        <v>566</v>
      </c>
      <c r="D76" s="1" t="s">
        <v>547</v>
      </c>
      <c r="E76" s="1">
        <v>18</v>
      </c>
      <c r="F76" s="2">
        <v>60401</v>
      </c>
      <c r="G76" s="2">
        <v>46093</v>
      </c>
      <c r="H76" s="1" t="s">
        <v>520</v>
      </c>
      <c r="I76" s="1" t="s">
        <v>560</v>
      </c>
      <c r="J76" s="2">
        <v>27793</v>
      </c>
      <c r="K76" s="1">
        <v>881</v>
      </c>
      <c r="L76" s="1" t="s">
        <v>526</v>
      </c>
      <c r="M76" s="2">
        <v>1087218</v>
      </c>
      <c r="N76" s="2">
        <v>829674</v>
      </c>
      <c r="O76" s="2">
        <v>229751</v>
      </c>
      <c r="P76" s="3">
        <v>0.2113200848403908</v>
      </c>
      <c r="Q76">
        <v>4</v>
      </c>
      <c r="R76" t="s">
        <v>1098</v>
      </c>
    </row>
    <row r="77" spans="1:18" ht="15.6">
      <c r="A77" s="1" t="s">
        <v>640</v>
      </c>
      <c r="B77" s="4">
        <v>45821</v>
      </c>
      <c r="C77" s="1" t="s">
        <v>636</v>
      </c>
      <c r="D77" s="1" t="s">
        <v>525</v>
      </c>
      <c r="E77" s="1">
        <v>63</v>
      </c>
      <c r="F77" s="2">
        <v>174455</v>
      </c>
      <c r="G77" s="2">
        <v>123523</v>
      </c>
      <c r="H77" s="1" t="s">
        <v>520</v>
      </c>
      <c r="I77" s="1" t="s">
        <v>539</v>
      </c>
      <c r="J77" s="2">
        <v>21818</v>
      </c>
      <c r="K77" s="1">
        <v>843</v>
      </c>
      <c r="L77" s="1" t="s">
        <v>522</v>
      </c>
      <c r="M77" s="2">
        <v>10990665</v>
      </c>
      <c r="N77" s="2">
        <v>7781949</v>
      </c>
      <c r="O77" s="2">
        <v>3186898</v>
      </c>
      <c r="P77" s="3">
        <v>0.28996407405739327</v>
      </c>
      <c r="Q77">
        <v>6</v>
      </c>
      <c r="R77" t="s">
        <v>1101</v>
      </c>
    </row>
    <row r="78" spans="1:18" ht="15.6">
      <c r="A78" s="1" t="s">
        <v>641</v>
      </c>
      <c r="B78" s="4">
        <v>45882</v>
      </c>
      <c r="C78" s="1" t="s">
        <v>595</v>
      </c>
      <c r="D78" s="1" t="s">
        <v>584</v>
      </c>
      <c r="E78" s="1">
        <v>9</v>
      </c>
      <c r="F78" s="2">
        <v>148862</v>
      </c>
      <c r="G78" s="2">
        <v>106074</v>
      </c>
      <c r="H78" s="1" t="s">
        <v>520</v>
      </c>
      <c r="I78" s="1" t="s">
        <v>539</v>
      </c>
      <c r="J78" s="2">
        <v>13351</v>
      </c>
      <c r="K78" s="1">
        <v>601</v>
      </c>
      <c r="L78" s="1" t="s">
        <v>522</v>
      </c>
      <c r="M78" s="2">
        <v>1339758</v>
      </c>
      <c r="N78" s="2">
        <v>954666</v>
      </c>
      <c r="O78" s="2">
        <v>371741</v>
      </c>
      <c r="P78" s="3">
        <v>0.27746876674742754</v>
      </c>
      <c r="Q78">
        <v>8</v>
      </c>
      <c r="R78" t="s">
        <v>1097</v>
      </c>
    </row>
    <row r="79" spans="1:18" ht="15.6">
      <c r="A79" s="1" t="s">
        <v>642</v>
      </c>
      <c r="B79" s="4">
        <v>45782</v>
      </c>
      <c r="C79" s="1" t="s">
        <v>555</v>
      </c>
      <c r="D79" s="1" t="s">
        <v>538</v>
      </c>
      <c r="E79" s="1">
        <v>71</v>
      </c>
      <c r="F79" s="2">
        <v>35543</v>
      </c>
      <c r="G79" s="2">
        <v>22561</v>
      </c>
      <c r="H79" s="1" t="s">
        <v>520</v>
      </c>
      <c r="I79" s="1" t="s">
        <v>521</v>
      </c>
      <c r="J79" s="2">
        <v>52865</v>
      </c>
      <c r="K79" s="1">
        <v>765</v>
      </c>
      <c r="L79" s="1" t="s">
        <v>522</v>
      </c>
      <c r="M79" s="2">
        <v>2523553</v>
      </c>
      <c r="N79" s="2">
        <v>1601831</v>
      </c>
      <c r="O79" s="2">
        <v>868857</v>
      </c>
      <c r="P79" s="3">
        <v>0.34429908941876791</v>
      </c>
      <c r="Q79">
        <v>5</v>
      </c>
      <c r="R79" t="s">
        <v>1099</v>
      </c>
    </row>
    <row r="80" spans="1:18" ht="15.6">
      <c r="A80" s="1" t="s">
        <v>643</v>
      </c>
      <c r="B80" s="4">
        <v>45838</v>
      </c>
      <c r="C80" s="1" t="s">
        <v>518</v>
      </c>
      <c r="D80" s="1" t="s">
        <v>569</v>
      </c>
      <c r="E80" s="1">
        <v>80</v>
      </c>
      <c r="F80" s="2">
        <v>37675</v>
      </c>
      <c r="G80" s="2">
        <v>25328</v>
      </c>
      <c r="H80" s="1" t="s">
        <v>520</v>
      </c>
      <c r="I80" s="1" t="s">
        <v>560</v>
      </c>
      <c r="J80" s="2">
        <v>4041</v>
      </c>
      <c r="K80" s="1">
        <v>786</v>
      </c>
      <c r="L80" s="1" t="s">
        <v>522</v>
      </c>
      <c r="M80" s="2">
        <v>3014000</v>
      </c>
      <c r="N80" s="2">
        <v>2026240</v>
      </c>
      <c r="O80" s="2">
        <v>983719</v>
      </c>
      <c r="P80" s="3">
        <v>0.32638321167883211</v>
      </c>
      <c r="Q80">
        <v>6</v>
      </c>
      <c r="R80" t="s">
        <v>1101</v>
      </c>
    </row>
    <row r="81" spans="1:18" ht="15.6">
      <c r="A81" s="1" t="s">
        <v>644</v>
      </c>
      <c r="B81" s="4">
        <v>45916</v>
      </c>
      <c r="C81" s="1" t="s">
        <v>579</v>
      </c>
      <c r="D81" s="1" t="s">
        <v>569</v>
      </c>
      <c r="E81" s="1">
        <v>53</v>
      </c>
      <c r="F81" s="2">
        <v>125768</v>
      </c>
      <c r="G81" s="2">
        <v>73846</v>
      </c>
      <c r="H81" s="1" t="s">
        <v>520</v>
      </c>
      <c r="I81" s="1" t="s">
        <v>539</v>
      </c>
      <c r="J81" s="2">
        <v>15035</v>
      </c>
      <c r="K81" s="1">
        <v>733</v>
      </c>
      <c r="L81" s="1" t="s">
        <v>522</v>
      </c>
      <c r="M81" s="2">
        <v>6665704</v>
      </c>
      <c r="N81" s="2">
        <v>3913838</v>
      </c>
      <c r="O81" s="2">
        <v>2736831</v>
      </c>
      <c r="P81" s="3">
        <v>0.41058393832069351</v>
      </c>
      <c r="Q81">
        <v>9</v>
      </c>
      <c r="R81" t="s">
        <v>1103</v>
      </c>
    </row>
    <row r="82" spans="1:18" ht="15.6">
      <c r="A82" s="1" t="s">
        <v>645</v>
      </c>
      <c r="B82" s="4">
        <v>45919</v>
      </c>
      <c r="C82" s="1" t="s">
        <v>646</v>
      </c>
      <c r="D82" s="1" t="s">
        <v>586</v>
      </c>
      <c r="E82" s="1">
        <v>15</v>
      </c>
      <c r="F82" s="2">
        <v>54077</v>
      </c>
      <c r="G82" s="2">
        <v>34027</v>
      </c>
      <c r="H82" s="1" t="s">
        <v>520</v>
      </c>
      <c r="I82" s="1" t="s">
        <v>560</v>
      </c>
      <c r="J82" s="2">
        <v>54357</v>
      </c>
      <c r="K82" s="1">
        <v>471</v>
      </c>
      <c r="L82" s="1" t="s">
        <v>526</v>
      </c>
      <c r="M82" s="2">
        <v>811155</v>
      </c>
      <c r="N82" s="2">
        <v>510405</v>
      </c>
      <c r="O82" s="2">
        <v>246393</v>
      </c>
      <c r="P82" s="3">
        <v>0.30375575568171309</v>
      </c>
      <c r="Q82">
        <v>9</v>
      </c>
      <c r="R82" t="s">
        <v>1103</v>
      </c>
    </row>
    <row r="83" spans="1:18" ht="15.6">
      <c r="A83" s="1" t="s">
        <v>647</v>
      </c>
      <c r="B83" s="4">
        <v>45801</v>
      </c>
      <c r="C83" s="1" t="s">
        <v>528</v>
      </c>
      <c r="D83" s="1" t="s">
        <v>532</v>
      </c>
      <c r="E83" s="1">
        <v>22</v>
      </c>
      <c r="F83" s="2">
        <v>63668</v>
      </c>
      <c r="G83" s="2">
        <v>43443</v>
      </c>
      <c r="H83" s="1" t="s">
        <v>520</v>
      </c>
      <c r="I83" s="1" t="s">
        <v>560</v>
      </c>
      <c r="J83" s="2">
        <v>21041</v>
      </c>
      <c r="K83" s="1">
        <v>879</v>
      </c>
      <c r="L83" s="1" t="s">
        <v>522</v>
      </c>
      <c r="M83" s="2">
        <v>1400696</v>
      </c>
      <c r="N83" s="2">
        <v>955746</v>
      </c>
      <c r="O83" s="2">
        <v>423909</v>
      </c>
      <c r="P83" s="3">
        <v>0.30264168670432412</v>
      </c>
      <c r="Q83">
        <v>5</v>
      </c>
      <c r="R83" t="s">
        <v>1099</v>
      </c>
    </row>
    <row r="84" spans="1:18" ht="15.6">
      <c r="A84" s="1" t="s">
        <v>648</v>
      </c>
      <c r="B84" s="4">
        <v>46022</v>
      </c>
      <c r="C84" s="1" t="s">
        <v>649</v>
      </c>
      <c r="D84" s="1" t="s">
        <v>553</v>
      </c>
      <c r="E84" s="1">
        <v>32</v>
      </c>
      <c r="F84" s="2">
        <v>138973</v>
      </c>
      <c r="G84" s="2">
        <v>93551</v>
      </c>
      <c r="H84" s="1" t="s">
        <v>520</v>
      </c>
      <c r="I84" s="1" t="s">
        <v>521</v>
      </c>
      <c r="J84" s="2">
        <v>39646</v>
      </c>
      <c r="K84" s="1">
        <v>584</v>
      </c>
      <c r="L84" s="1" t="s">
        <v>526</v>
      </c>
      <c r="M84" s="2">
        <v>4447136</v>
      </c>
      <c r="N84" s="2">
        <v>2993632</v>
      </c>
      <c r="O84" s="2">
        <v>1413858</v>
      </c>
      <c r="P84" s="3">
        <v>0.31792551430853477</v>
      </c>
      <c r="Q84">
        <v>12</v>
      </c>
      <c r="R84" t="s">
        <v>1102</v>
      </c>
    </row>
    <row r="85" spans="1:18" ht="15.6">
      <c r="A85" s="1" t="s">
        <v>650</v>
      </c>
      <c r="B85" s="4">
        <v>45769</v>
      </c>
      <c r="C85" s="1" t="s">
        <v>577</v>
      </c>
      <c r="D85" s="1" t="s">
        <v>553</v>
      </c>
      <c r="E85" s="1">
        <v>28</v>
      </c>
      <c r="F85" s="2">
        <v>93091</v>
      </c>
      <c r="G85" s="2">
        <v>51809</v>
      </c>
      <c r="H85" s="1" t="s">
        <v>520</v>
      </c>
      <c r="I85" s="1" t="s">
        <v>544</v>
      </c>
      <c r="J85" s="2">
        <v>37839</v>
      </c>
      <c r="K85" s="1">
        <v>515</v>
      </c>
      <c r="L85" s="1" t="s">
        <v>526</v>
      </c>
      <c r="M85" s="2">
        <v>2606548</v>
      </c>
      <c r="N85" s="2">
        <v>1450652</v>
      </c>
      <c r="O85" s="2">
        <v>1118057</v>
      </c>
      <c r="P85" s="3">
        <v>0.42894165002908063</v>
      </c>
      <c r="Q85">
        <v>4</v>
      </c>
      <c r="R85" t="s">
        <v>1098</v>
      </c>
    </row>
    <row r="86" spans="1:18" ht="15.6">
      <c r="A86" s="1" t="s">
        <v>651</v>
      </c>
      <c r="B86" s="4">
        <v>45833</v>
      </c>
      <c r="C86" s="1" t="s">
        <v>531</v>
      </c>
      <c r="D86" s="1" t="s">
        <v>556</v>
      </c>
      <c r="E86" s="1">
        <v>7</v>
      </c>
      <c r="F86" s="2">
        <v>15902</v>
      </c>
      <c r="G86" s="2">
        <v>10442</v>
      </c>
      <c r="H86" s="1" t="s">
        <v>520</v>
      </c>
      <c r="I86" s="1" t="s">
        <v>533</v>
      </c>
      <c r="J86" s="2">
        <v>12454</v>
      </c>
      <c r="K86" s="1">
        <v>879</v>
      </c>
      <c r="L86" s="1" t="s">
        <v>526</v>
      </c>
      <c r="M86" s="2">
        <v>111314</v>
      </c>
      <c r="N86" s="2">
        <v>73094</v>
      </c>
      <c r="O86" s="2">
        <v>25766</v>
      </c>
      <c r="P86" s="3">
        <v>0.23147133334531145</v>
      </c>
      <c r="Q86">
        <v>6</v>
      </c>
      <c r="R86" t="s">
        <v>1101</v>
      </c>
    </row>
    <row r="87" spans="1:18" ht="15.6">
      <c r="A87" s="1" t="s">
        <v>652</v>
      </c>
      <c r="B87" s="4">
        <v>45702</v>
      </c>
      <c r="C87" s="1" t="s">
        <v>531</v>
      </c>
      <c r="D87" s="1" t="s">
        <v>547</v>
      </c>
      <c r="E87" s="1">
        <v>18</v>
      </c>
      <c r="F87" s="2">
        <v>137421</v>
      </c>
      <c r="G87" s="2">
        <v>88576</v>
      </c>
      <c r="H87" s="1" t="s">
        <v>520</v>
      </c>
      <c r="I87" s="1" t="s">
        <v>544</v>
      </c>
      <c r="J87" s="2">
        <v>62795</v>
      </c>
      <c r="K87" s="1">
        <v>607</v>
      </c>
      <c r="L87" s="1" t="s">
        <v>522</v>
      </c>
      <c r="M87" s="2">
        <v>2473578</v>
      </c>
      <c r="N87" s="2">
        <v>1594368</v>
      </c>
      <c r="O87" s="2">
        <v>816415</v>
      </c>
      <c r="P87" s="3">
        <v>0.33005427764962336</v>
      </c>
      <c r="Q87">
        <v>2</v>
      </c>
      <c r="R87" t="s">
        <v>1094</v>
      </c>
    </row>
    <row r="88" spans="1:18" ht="15.6">
      <c r="A88" s="1" t="s">
        <v>653</v>
      </c>
      <c r="B88" s="4">
        <v>45958</v>
      </c>
      <c r="C88" s="1" t="s">
        <v>535</v>
      </c>
      <c r="D88" s="1" t="s">
        <v>543</v>
      </c>
      <c r="E88" s="1">
        <v>34</v>
      </c>
      <c r="F88" s="2">
        <v>45108</v>
      </c>
      <c r="G88" s="2">
        <v>34032</v>
      </c>
      <c r="H88" s="1" t="s">
        <v>520</v>
      </c>
      <c r="I88" s="1" t="s">
        <v>560</v>
      </c>
      <c r="J88" s="2">
        <v>22189</v>
      </c>
      <c r="K88" s="1">
        <v>806</v>
      </c>
      <c r="L88" s="1" t="s">
        <v>526</v>
      </c>
      <c r="M88" s="2">
        <v>1533672</v>
      </c>
      <c r="N88" s="2">
        <v>1157088</v>
      </c>
      <c r="O88" s="2">
        <v>354395</v>
      </c>
      <c r="P88" s="3">
        <v>0.23107613622730283</v>
      </c>
      <c r="Q88">
        <v>10</v>
      </c>
      <c r="R88" t="s">
        <v>1095</v>
      </c>
    </row>
    <row r="89" spans="1:18" ht="15.6">
      <c r="A89" s="1" t="s">
        <v>654</v>
      </c>
      <c r="B89" s="4">
        <v>45719</v>
      </c>
      <c r="C89" s="1" t="s">
        <v>546</v>
      </c>
      <c r="D89" s="1" t="s">
        <v>525</v>
      </c>
      <c r="E89" s="1">
        <v>18</v>
      </c>
      <c r="F89" s="2">
        <v>128658</v>
      </c>
      <c r="G89" s="2">
        <v>64852</v>
      </c>
      <c r="H89" s="1" t="s">
        <v>520</v>
      </c>
      <c r="I89" s="1" t="s">
        <v>560</v>
      </c>
      <c r="J89" s="2">
        <v>36033</v>
      </c>
      <c r="K89" s="1">
        <v>861</v>
      </c>
      <c r="L89" s="1" t="s">
        <v>522</v>
      </c>
      <c r="M89" s="2">
        <v>2315844</v>
      </c>
      <c r="N89" s="2">
        <v>1167336</v>
      </c>
      <c r="O89" s="2">
        <v>1112475</v>
      </c>
      <c r="P89" s="3">
        <v>0.48037562115582916</v>
      </c>
      <c r="Q89">
        <v>3</v>
      </c>
      <c r="R89" t="s">
        <v>1104</v>
      </c>
    </row>
    <row r="90" spans="1:18" ht="15.6">
      <c r="A90" s="1" t="s">
        <v>655</v>
      </c>
      <c r="B90" s="4">
        <v>45895</v>
      </c>
      <c r="C90" s="1" t="s">
        <v>524</v>
      </c>
      <c r="D90" s="1" t="s">
        <v>553</v>
      </c>
      <c r="E90" s="1">
        <v>16</v>
      </c>
      <c r="F90" s="2">
        <v>23552</v>
      </c>
      <c r="G90" s="2">
        <v>16875</v>
      </c>
      <c r="H90" s="1" t="s">
        <v>520</v>
      </c>
      <c r="I90" s="1" t="s">
        <v>560</v>
      </c>
      <c r="J90" s="2">
        <v>742</v>
      </c>
      <c r="K90" s="1">
        <v>868</v>
      </c>
      <c r="L90" s="1" t="s">
        <v>522</v>
      </c>
      <c r="M90" s="2">
        <v>376832</v>
      </c>
      <c r="N90" s="2">
        <v>270000</v>
      </c>
      <c r="O90" s="2">
        <v>106090</v>
      </c>
      <c r="P90" s="3">
        <v>0.28153129245923914</v>
      </c>
      <c r="Q90">
        <v>8</v>
      </c>
      <c r="R90" t="s">
        <v>1097</v>
      </c>
    </row>
    <row r="91" spans="1:18" ht="15.6">
      <c r="A91" s="1" t="s">
        <v>656</v>
      </c>
      <c r="B91" s="4">
        <v>45865</v>
      </c>
      <c r="C91" s="1" t="s">
        <v>518</v>
      </c>
      <c r="D91" s="1" t="s">
        <v>569</v>
      </c>
      <c r="E91" s="1">
        <v>72</v>
      </c>
      <c r="F91" s="2">
        <v>136669</v>
      </c>
      <c r="G91" s="2">
        <v>7277</v>
      </c>
      <c r="H91" s="1" t="s">
        <v>520</v>
      </c>
      <c r="I91" s="1" t="s">
        <v>533</v>
      </c>
      <c r="J91" s="2">
        <v>53234</v>
      </c>
      <c r="K91" s="1">
        <v>52</v>
      </c>
      <c r="L91" s="1" t="s">
        <v>522</v>
      </c>
      <c r="M91" s="2">
        <v>9840168</v>
      </c>
      <c r="N91" s="2">
        <v>523944</v>
      </c>
      <c r="O91" s="2">
        <v>9262990</v>
      </c>
      <c r="P91" s="3">
        <v>0.9413447006189325</v>
      </c>
      <c r="Q91">
        <v>7</v>
      </c>
      <c r="R91" t="s">
        <v>1100</v>
      </c>
    </row>
    <row r="92" spans="1:18" ht="15.6">
      <c r="A92" s="1" t="s">
        <v>657</v>
      </c>
      <c r="B92" s="4">
        <v>45689</v>
      </c>
      <c r="C92" s="1" t="s">
        <v>658</v>
      </c>
      <c r="D92" s="1" t="s">
        <v>563</v>
      </c>
      <c r="E92" s="1">
        <v>29</v>
      </c>
      <c r="F92" s="2">
        <v>30483</v>
      </c>
      <c r="G92" s="2">
        <v>22003</v>
      </c>
      <c r="H92" s="1" t="s">
        <v>520</v>
      </c>
      <c r="I92" s="1" t="s">
        <v>533</v>
      </c>
      <c r="J92" s="2">
        <v>39939</v>
      </c>
      <c r="K92" s="1">
        <v>579</v>
      </c>
      <c r="L92" s="1" t="s">
        <v>522</v>
      </c>
      <c r="M92" s="2">
        <v>884007</v>
      </c>
      <c r="N92" s="2">
        <v>638087</v>
      </c>
      <c r="O92" s="2">
        <v>205981</v>
      </c>
      <c r="P92" s="3">
        <v>0.23300833590684236</v>
      </c>
      <c r="Q92">
        <v>2</v>
      </c>
      <c r="R92" t="s">
        <v>1094</v>
      </c>
    </row>
    <row r="93" spans="1:18" ht="15.6">
      <c r="A93" s="1" t="s">
        <v>659</v>
      </c>
      <c r="B93" s="4">
        <v>45669</v>
      </c>
      <c r="C93" s="1" t="s">
        <v>535</v>
      </c>
      <c r="D93" s="1" t="s">
        <v>519</v>
      </c>
      <c r="E93" s="1">
        <v>57</v>
      </c>
      <c r="F93" s="2">
        <v>147199</v>
      </c>
      <c r="G93" s="2">
        <v>70707</v>
      </c>
      <c r="H93" s="1" t="s">
        <v>520</v>
      </c>
      <c r="I93" s="1" t="s">
        <v>533</v>
      </c>
      <c r="J93" s="2">
        <v>7562</v>
      </c>
      <c r="K93" s="1">
        <v>68</v>
      </c>
      <c r="L93" s="1" t="s">
        <v>522</v>
      </c>
      <c r="M93" s="2">
        <v>8390343</v>
      </c>
      <c r="N93" s="2">
        <v>4030299</v>
      </c>
      <c r="O93" s="2">
        <v>4352482</v>
      </c>
      <c r="P93" s="3">
        <v>0.518748995124514</v>
      </c>
      <c r="Q93">
        <v>1</v>
      </c>
      <c r="R93" t="s">
        <v>1096</v>
      </c>
    </row>
    <row r="94" spans="1:18" ht="15.6">
      <c r="A94" s="1" t="s">
        <v>660</v>
      </c>
      <c r="B94" s="4">
        <v>45951</v>
      </c>
      <c r="C94" s="1" t="s">
        <v>577</v>
      </c>
      <c r="D94" s="1" t="s">
        <v>553</v>
      </c>
      <c r="E94" s="1">
        <v>51</v>
      </c>
      <c r="F94" s="2">
        <v>93334</v>
      </c>
      <c r="G94" s="2">
        <v>53788</v>
      </c>
      <c r="H94" s="1" t="s">
        <v>520</v>
      </c>
      <c r="I94" s="1" t="s">
        <v>521</v>
      </c>
      <c r="J94" s="2">
        <v>26237</v>
      </c>
      <c r="K94" s="1">
        <v>904</v>
      </c>
      <c r="L94" s="1" t="s">
        <v>522</v>
      </c>
      <c r="M94" s="2">
        <v>4760034</v>
      </c>
      <c r="N94" s="2">
        <v>2743188</v>
      </c>
      <c r="O94" s="2">
        <v>1990609</v>
      </c>
      <c r="P94" s="3">
        <v>0.41819218098021987</v>
      </c>
      <c r="Q94">
        <v>10</v>
      </c>
      <c r="R94" t="s">
        <v>1095</v>
      </c>
    </row>
    <row r="95" spans="1:18" ht="15.6">
      <c r="A95" s="1" t="s">
        <v>661</v>
      </c>
      <c r="B95" s="4">
        <v>45853</v>
      </c>
      <c r="C95" s="1" t="s">
        <v>595</v>
      </c>
      <c r="D95" s="1" t="s">
        <v>525</v>
      </c>
      <c r="E95" s="1">
        <v>46</v>
      </c>
      <c r="F95" s="2">
        <v>90506</v>
      </c>
      <c r="G95" s="2">
        <v>64067</v>
      </c>
      <c r="H95" s="1" t="s">
        <v>520</v>
      </c>
      <c r="I95" s="1" t="s">
        <v>560</v>
      </c>
      <c r="J95" s="2">
        <v>35144</v>
      </c>
      <c r="K95" s="1">
        <v>644</v>
      </c>
      <c r="L95" s="1" t="s">
        <v>522</v>
      </c>
      <c r="M95" s="2">
        <v>4163276</v>
      </c>
      <c r="N95" s="2">
        <v>2947082</v>
      </c>
      <c r="O95" s="2">
        <v>1181050</v>
      </c>
      <c r="P95" s="3">
        <v>0.28368284975581731</v>
      </c>
      <c r="Q95">
        <v>7</v>
      </c>
      <c r="R95" t="s">
        <v>1100</v>
      </c>
    </row>
    <row r="96" spans="1:18" ht="15.6">
      <c r="A96" s="1" t="s">
        <v>662</v>
      </c>
      <c r="B96" s="4">
        <v>45671</v>
      </c>
      <c r="C96" s="1" t="s">
        <v>649</v>
      </c>
      <c r="D96" s="1" t="s">
        <v>586</v>
      </c>
      <c r="E96" s="1">
        <v>29</v>
      </c>
      <c r="F96" s="2">
        <v>1304</v>
      </c>
      <c r="G96" s="2">
        <v>9357</v>
      </c>
      <c r="H96" s="1" t="s">
        <v>520</v>
      </c>
      <c r="I96" s="1" t="s">
        <v>533</v>
      </c>
      <c r="J96" s="2">
        <v>53519</v>
      </c>
      <c r="K96" s="1">
        <v>686</v>
      </c>
      <c r="L96" s="1" t="s">
        <v>522</v>
      </c>
      <c r="M96" s="2">
        <v>37816</v>
      </c>
      <c r="N96" s="2">
        <v>271353</v>
      </c>
      <c r="O96" s="2">
        <v>-287056</v>
      </c>
      <c r="P96" s="3">
        <v>-7.5908610112121853</v>
      </c>
      <c r="Q96">
        <v>1</v>
      </c>
      <c r="R96" t="s">
        <v>1096</v>
      </c>
    </row>
    <row r="97" spans="1:18" ht="15.6">
      <c r="A97" s="1" t="s">
        <v>663</v>
      </c>
      <c r="B97" s="4">
        <v>45948</v>
      </c>
      <c r="C97" s="1" t="s">
        <v>583</v>
      </c>
      <c r="D97" s="1" t="s">
        <v>538</v>
      </c>
      <c r="E97" s="1">
        <v>73</v>
      </c>
      <c r="F97" s="2">
        <v>171119</v>
      </c>
      <c r="G97" s="2">
        <v>124251</v>
      </c>
      <c r="H97" s="1" t="s">
        <v>520</v>
      </c>
      <c r="I97" s="1" t="s">
        <v>560</v>
      </c>
      <c r="J97" s="2">
        <v>23543</v>
      </c>
      <c r="K97" s="1">
        <v>695</v>
      </c>
      <c r="L97" s="1" t="s">
        <v>522</v>
      </c>
      <c r="M97" s="2">
        <v>12491687</v>
      </c>
      <c r="N97" s="2">
        <v>9070323</v>
      </c>
      <c r="O97" s="2">
        <v>3397821</v>
      </c>
      <c r="P97" s="3">
        <v>0.27200657525280614</v>
      </c>
      <c r="Q97">
        <v>10</v>
      </c>
      <c r="R97" t="s">
        <v>1095</v>
      </c>
    </row>
    <row r="98" spans="1:18" ht="15.6">
      <c r="A98" s="1" t="s">
        <v>664</v>
      </c>
      <c r="B98" s="4">
        <v>45686</v>
      </c>
      <c r="C98" s="1" t="s">
        <v>581</v>
      </c>
      <c r="D98" s="1" t="s">
        <v>586</v>
      </c>
      <c r="E98" s="1">
        <v>29</v>
      </c>
      <c r="F98" s="2">
        <v>11428</v>
      </c>
      <c r="G98" s="2">
        <v>6945</v>
      </c>
      <c r="H98" s="1" t="s">
        <v>520</v>
      </c>
      <c r="I98" s="1" t="s">
        <v>560</v>
      </c>
      <c r="J98" s="2">
        <v>17088</v>
      </c>
      <c r="K98" s="1">
        <v>515</v>
      </c>
      <c r="L98" s="1" t="s">
        <v>522</v>
      </c>
      <c r="M98" s="2">
        <v>331412</v>
      </c>
      <c r="N98" s="2">
        <v>201405</v>
      </c>
      <c r="O98" s="2">
        <v>112919</v>
      </c>
      <c r="P98" s="3">
        <v>0.34072091535611265</v>
      </c>
      <c r="Q98">
        <v>1</v>
      </c>
      <c r="R98" t="s">
        <v>1096</v>
      </c>
    </row>
    <row r="99" spans="1:18" ht="15.6">
      <c r="A99" s="1" t="s">
        <v>665</v>
      </c>
      <c r="B99" s="4">
        <v>45990</v>
      </c>
      <c r="C99" s="1" t="s">
        <v>649</v>
      </c>
      <c r="D99" s="1" t="s">
        <v>538</v>
      </c>
      <c r="E99" s="1">
        <v>72</v>
      </c>
      <c r="F99" s="2">
        <v>127292</v>
      </c>
      <c r="G99" s="2">
        <v>96299</v>
      </c>
      <c r="H99" s="1" t="s">
        <v>520</v>
      </c>
      <c r="I99" s="1" t="s">
        <v>521</v>
      </c>
      <c r="J99" s="2">
        <v>44932</v>
      </c>
      <c r="K99" s="1">
        <v>857</v>
      </c>
      <c r="L99" s="1" t="s">
        <v>526</v>
      </c>
      <c r="M99" s="2">
        <v>9165024</v>
      </c>
      <c r="N99" s="2">
        <v>6933528</v>
      </c>
      <c r="O99" s="2">
        <v>2186564</v>
      </c>
      <c r="P99" s="3">
        <v>0.23857700754520664</v>
      </c>
      <c r="Q99">
        <v>11</v>
      </c>
      <c r="R99" t="s">
        <v>1105</v>
      </c>
    </row>
    <row r="100" spans="1:18" ht="15.6">
      <c r="A100" s="1" t="s">
        <v>666</v>
      </c>
      <c r="B100" s="4">
        <v>45869</v>
      </c>
      <c r="C100" s="1" t="s">
        <v>549</v>
      </c>
      <c r="D100" s="1" t="s">
        <v>567</v>
      </c>
      <c r="E100" s="1">
        <v>49</v>
      </c>
      <c r="F100" s="2">
        <v>68412</v>
      </c>
      <c r="G100" s="2">
        <v>39259</v>
      </c>
      <c r="H100" s="1" t="s">
        <v>520</v>
      </c>
      <c r="I100" s="1" t="s">
        <v>560</v>
      </c>
      <c r="J100" s="2">
        <v>44058</v>
      </c>
      <c r="K100" s="1">
        <v>794</v>
      </c>
      <c r="L100" s="1" t="s">
        <v>522</v>
      </c>
      <c r="M100" s="2">
        <v>3352188</v>
      </c>
      <c r="N100" s="2">
        <v>1923691</v>
      </c>
      <c r="O100" s="2">
        <v>1384439</v>
      </c>
      <c r="P100" s="3">
        <v>0.41299563150992724</v>
      </c>
      <c r="Q100">
        <v>7</v>
      </c>
      <c r="R100" t="s">
        <v>1100</v>
      </c>
    </row>
    <row r="101" spans="1:18" ht="15.6">
      <c r="A101" s="1" t="s">
        <v>667</v>
      </c>
      <c r="B101" s="4">
        <v>45880</v>
      </c>
      <c r="C101" s="1" t="s">
        <v>571</v>
      </c>
      <c r="D101" s="1" t="s">
        <v>543</v>
      </c>
      <c r="E101" s="1">
        <v>13</v>
      </c>
      <c r="F101" s="2">
        <v>64948</v>
      </c>
      <c r="G101" s="2">
        <v>50111</v>
      </c>
      <c r="H101" s="1" t="s">
        <v>520</v>
      </c>
      <c r="I101" s="1" t="s">
        <v>560</v>
      </c>
      <c r="J101" s="2">
        <v>48322</v>
      </c>
      <c r="K101" s="1">
        <v>815</v>
      </c>
      <c r="L101" s="1" t="s">
        <v>522</v>
      </c>
      <c r="M101" s="2">
        <v>844324</v>
      </c>
      <c r="N101" s="2">
        <v>651443</v>
      </c>
      <c r="O101" s="2">
        <v>144559</v>
      </c>
      <c r="P101" s="3">
        <v>0.17121270981282066</v>
      </c>
      <c r="Q101">
        <v>8</v>
      </c>
      <c r="R101" t="s">
        <v>1097</v>
      </c>
    </row>
    <row r="102" spans="1:18" ht="15.6">
      <c r="A102" s="1" t="s">
        <v>668</v>
      </c>
      <c r="B102" s="4">
        <v>45717</v>
      </c>
      <c r="C102" s="1" t="s">
        <v>636</v>
      </c>
      <c r="D102" s="1" t="s">
        <v>563</v>
      </c>
      <c r="E102" s="1">
        <v>51</v>
      </c>
      <c r="F102" s="2">
        <v>89002</v>
      </c>
      <c r="G102" s="2">
        <v>66334</v>
      </c>
      <c r="H102" s="1" t="s">
        <v>520</v>
      </c>
      <c r="I102" s="1" t="s">
        <v>533</v>
      </c>
      <c r="J102" s="2">
        <v>43512</v>
      </c>
      <c r="K102" s="1">
        <v>644</v>
      </c>
      <c r="L102" s="1" t="s">
        <v>522</v>
      </c>
      <c r="M102" s="2">
        <v>4539102</v>
      </c>
      <c r="N102" s="2">
        <v>3383034</v>
      </c>
      <c r="O102" s="2">
        <v>1112556</v>
      </c>
      <c r="P102" s="3">
        <v>0.24510486876038476</v>
      </c>
      <c r="Q102">
        <v>3</v>
      </c>
      <c r="R102" t="s">
        <v>1104</v>
      </c>
    </row>
    <row r="103" spans="1:18" ht="15.6">
      <c r="A103" s="1" t="s">
        <v>669</v>
      </c>
      <c r="B103" s="4">
        <v>45853</v>
      </c>
      <c r="C103" s="1" t="s">
        <v>600</v>
      </c>
      <c r="D103" s="1" t="s">
        <v>538</v>
      </c>
      <c r="E103" s="1">
        <v>58</v>
      </c>
      <c r="F103" s="2">
        <v>15674</v>
      </c>
      <c r="G103" s="2">
        <v>9328</v>
      </c>
      <c r="H103" s="1" t="s">
        <v>520</v>
      </c>
      <c r="I103" s="1" t="s">
        <v>521</v>
      </c>
      <c r="J103" s="2">
        <v>55225</v>
      </c>
      <c r="K103" s="1">
        <v>732</v>
      </c>
      <c r="L103" s="1" t="s">
        <v>522</v>
      </c>
      <c r="M103" s="2">
        <v>909092</v>
      </c>
      <c r="N103" s="2">
        <v>541024</v>
      </c>
      <c r="O103" s="2">
        <v>312843</v>
      </c>
      <c r="P103" s="3">
        <v>0.34412688704773553</v>
      </c>
      <c r="Q103">
        <v>7</v>
      </c>
      <c r="R103" t="s">
        <v>1100</v>
      </c>
    </row>
    <row r="104" spans="1:18" ht="15.6">
      <c r="A104" s="1" t="s">
        <v>670</v>
      </c>
      <c r="B104" s="4">
        <v>46014</v>
      </c>
      <c r="C104" s="1" t="s">
        <v>671</v>
      </c>
      <c r="D104" s="1" t="s">
        <v>547</v>
      </c>
      <c r="E104" s="1">
        <v>11</v>
      </c>
      <c r="F104" s="2">
        <v>12292</v>
      </c>
      <c r="G104" s="2">
        <v>88097</v>
      </c>
      <c r="H104" s="1" t="s">
        <v>520</v>
      </c>
      <c r="I104" s="1" t="s">
        <v>560</v>
      </c>
      <c r="J104" s="2">
        <v>18651</v>
      </c>
      <c r="K104" s="1">
        <v>48</v>
      </c>
      <c r="L104" s="1" t="s">
        <v>526</v>
      </c>
      <c r="M104" s="2">
        <v>135212</v>
      </c>
      <c r="N104" s="2">
        <v>969067</v>
      </c>
      <c r="O104" s="2">
        <v>-852506</v>
      </c>
      <c r="P104" s="3">
        <v>-6.3049581398100765</v>
      </c>
      <c r="Q104">
        <v>12</v>
      </c>
      <c r="R104" t="s">
        <v>1102</v>
      </c>
    </row>
    <row r="105" spans="1:18" ht="15.6">
      <c r="A105" s="1" t="s">
        <v>672</v>
      </c>
      <c r="B105" s="4">
        <v>45925</v>
      </c>
      <c r="C105" s="1" t="s">
        <v>577</v>
      </c>
      <c r="D105" s="1" t="s">
        <v>532</v>
      </c>
      <c r="E105" s="1">
        <v>61</v>
      </c>
      <c r="F105" s="2">
        <v>106507</v>
      </c>
      <c r="G105" s="2">
        <v>5621</v>
      </c>
      <c r="H105" s="1" t="s">
        <v>520</v>
      </c>
      <c r="I105" s="1" t="s">
        <v>533</v>
      </c>
      <c r="J105" s="2">
        <v>28688</v>
      </c>
      <c r="K105" s="1">
        <v>877</v>
      </c>
      <c r="L105" s="1" t="s">
        <v>522</v>
      </c>
      <c r="M105" s="2">
        <v>6496927</v>
      </c>
      <c r="N105" s="2">
        <v>342881</v>
      </c>
      <c r="O105" s="2">
        <v>6125358</v>
      </c>
      <c r="P105" s="3">
        <v>0.94280850008011485</v>
      </c>
      <c r="Q105">
        <v>9</v>
      </c>
      <c r="R105" t="s">
        <v>1103</v>
      </c>
    </row>
    <row r="106" spans="1:18" ht="15.6">
      <c r="A106" s="1" t="s">
        <v>673</v>
      </c>
      <c r="B106" s="4">
        <v>45909</v>
      </c>
      <c r="C106" s="1" t="s">
        <v>518</v>
      </c>
      <c r="D106" s="1" t="s">
        <v>525</v>
      </c>
      <c r="E106" s="1">
        <v>13</v>
      </c>
      <c r="F106" s="2">
        <v>175269</v>
      </c>
      <c r="G106" s="2">
        <v>92056</v>
      </c>
      <c r="H106" s="1" t="s">
        <v>520</v>
      </c>
      <c r="I106" s="1" t="s">
        <v>539</v>
      </c>
      <c r="J106" s="2">
        <v>51442</v>
      </c>
      <c r="K106" s="1">
        <v>61</v>
      </c>
      <c r="L106" s="1" t="s">
        <v>526</v>
      </c>
      <c r="M106" s="2">
        <v>2278497</v>
      </c>
      <c r="N106" s="2">
        <v>1196728</v>
      </c>
      <c r="O106" s="2">
        <v>1030327</v>
      </c>
      <c r="P106" s="3">
        <v>0.45219589931432869</v>
      </c>
      <c r="Q106">
        <v>9</v>
      </c>
      <c r="R106" t="s">
        <v>1103</v>
      </c>
    </row>
    <row r="107" spans="1:18" ht="15.6">
      <c r="A107" s="1" t="s">
        <v>674</v>
      </c>
      <c r="B107" s="4">
        <v>45967</v>
      </c>
      <c r="C107" s="1" t="s">
        <v>579</v>
      </c>
      <c r="D107" s="1" t="s">
        <v>547</v>
      </c>
      <c r="E107" s="1">
        <v>25</v>
      </c>
      <c r="F107" s="2">
        <v>83975</v>
      </c>
      <c r="G107" s="2">
        <v>63102</v>
      </c>
      <c r="H107" s="1" t="s">
        <v>520</v>
      </c>
      <c r="I107" s="1" t="s">
        <v>539</v>
      </c>
      <c r="J107" s="2">
        <v>5057</v>
      </c>
      <c r="K107" s="1">
        <v>884</v>
      </c>
      <c r="L107" s="1" t="s">
        <v>522</v>
      </c>
      <c r="M107" s="2">
        <v>2099375</v>
      </c>
      <c r="N107" s="2">
        <v>1577550</v>
      </c>
      <c r="O107" s="2">
        <v>516768</v>
      </c>
      <c r="P107" s="3">
        <v>0.2461532598987794</v>
      </c>
      <c r="Q107">
        <v>11</v>
      </c>
      <c r="R107" t="s">
        <v>1105</v>
      </c>
    </row>
    <row r="108" spans="1:18" ht="15.6">
      <c r="A108" s="1" t="s">
        <v>675</v>
      </c>
      <c r="B108" s="4">
        <v>45861</v>
      </c>
      <c r="C108" s="1" t="s">
        <v>579</v>
      </c>
      <c r="D108" s="1" t="s">
        <v>567</v>
      </c>
      <c r="E108" s="1">
        <v>16</v>
      </c>
      <c r="F108" s="2">
        <v>125162</v>
      </c>
      <c r="G108" s="2">
        <v>66316</v>
      </c>
      <c r="H108" s="1" t="s">
        <v>520</v>
      </c>
      <c r="I108" s="1" t="s">
        <v>560</v>
      </c>
      <c r="J108" s="2">
        <v>31766</v>
      </c>
      <c r="K108" s="1">
        <v>93</v>
      </c>
      <c r="L108" s="1" t="s">
        <v>526</v>
      </c>
      <c r="M108" s="2">
        <v>2002592</v>
      </c>
      <c r="N108" s="2">
        <v>1061056</v>
      </c>
      <c r="O108" s="2">
        <v>909770</v>
      </c>
      <c r="P108" s="3">
        <v>0.45429623208322012</v>
      </c>
      <c r="Q108">
        <v>7</v>
      </c>
      <c r="R108" t="s">
        <v>1100</v>
      </c>
    </row>
    <row r="109" spans="1:18" ht="15.6">
      <c r="A109" s="1" t="s">
        <v>676</v>
      </c>
      <c r="B109" s="4">
        <v>45950</v>
      </c>
      <c r="C109" s="1" t="s">
        <v>604</v>
      </c>
      <c r="D109" s="1" t="s">
        <v>519</v>
      </c>
      <c r="E109" s="1">
        <v>29</v>
      </c>
      <c r="F109" s="2">
        <v>119349</v>
      </c>
      <c r="G109" s="2">
        <v>80398</v>
      </c>
      <c r="H109" s="1" t="s">
        <v>520</v>
      </c>
      <c r="I109" s="1" t="s">
        <v>539</v>
      </c>
      <c r="J109" s="2">
        <v>35797</v>
      </c>
      <c r="K109" s="1">
        <v>882</v>
      </c>
      <c r="L109" s="1" t="s">
        <v>522</v>
      </c>
      <c r="M109" s="2">
        <v>3461121</v>
      </c>
      <c r="N109" s="2">
        <v>2331542</v>
      </c>
      <c r="O109" s="2">
        <v>1093782</v>
      </c>
      <c r="P109" s="3">
        <v>0.31601957862784918</v>
      </c>
      <c r="Q109">
        <v>10</v>
      </c>
      <c r="R109" t="s">
        <v>1095</v>
      </c>
    </row>
    <row r="110" spans="1:18" ht="15.6">
      <c r="A110" s="1" t="s">
        <v>677</v>
      </c>
      <c r="B110" s="4">
        <v>45900</v>
      </c>
      <c r="C110" s="1" t="s">
        <v>574</v>
      </c>
      <c r="D110" s="1" t="s">
        <v>538</v>
      </c>
      <c r="E110" s="1">
        <v>23</v>
      </c>
      <c r="F110" s="2">
        <v>111396</v>
      </c>
      <c r="G110" s="2">
        <v>50439</v>
      </c>
      <c r="H110" s="1" t="s">
        <v>520</v>
      </c>
      <c r="I110" s="1" t="s">
        <v>560</v>
      </c>
      <c r="J110" s="2">
        <v>53305</v>
      </c>
      <c r="K110" s="1">
        <v>603</v>
      </c>
      <c r="L110" s="1" t="s">
        <v>522</v>
      </c>
      <c r="M110" s="2">
        <v>2562108</v>
      </c>
      <c r="N110" s="2">
        <v>1160097</v>
      </c>
      <c r="O110" s="2">
        <v>1348706</v>
      </c>
      <c r="P110" s="3">
        <v>0.52640481978121145</v>
      </c>
      <c r="Q110">
        <v>8</v>
      </c>
      <c r="R110" t="s">
        <v>1097</v>
      </c>
    </row>
    <row r="111" spans="1:18" ht="15.6">
      <c r="A111" s="1" t="s">
        <v>678</v>
      </c>
      <c r="B111" s="4">
        <v>45874</v>
      </c>
      <c r="C111" s="1" t="s">
        <v>531</v>
      </c>
      <c r="D111" s="1" t="s">
        <v>559</v>
      </c>
      <c r="E111" s="1">
        <v>45</v>
      </c>
      <c r="F111" s="2">
        <v>86948</v>
      </c>
      <c r="G111" s="2">
        <v>45388</v>
      </c>
      <c r="H111" s="1" t="s">
        <v>520</v>
      </c>
      <c r="I111" s="1" t="s">
        <v>560</v>
      </c>
      <c r="J111" s="2">
        <v>54459</v>
      </c>
      <c r="K111" s="1">
        <v>649</v>
      </c>
      <c r="L111" s="1" t="s">
        <v>522</v>
      </c>
      <c r="M111" s="2">
        <v>3912660</v>
      </c>
      <c r="N111" s="2">
        <v>2042460</v>
      </c>
      <c r="O111" s="2">
        <v>1815741</v>
      </c>
      <c r="P111" s="3">
        <v>0.46406817868151079</v>
      </c>
      <c r="Q111">
        <v>8</v>
      </c>
      <c r="R111" t="s">
        <v>1097</v>
      </c>
    </row>
    <row r="112" spans="1:18" ht="15.6">
      <c r="A112" s="1" t="s">
        <v>679</v>
      </c>
      <c r="B112" s="4">
        <v>45661</v>
      </c>
      <c r="C112" s="1" t="s">
        <v>555</v>
      </c>
      <c r="D112" s="1" t="s">
        <v>556</v>
      </c>
      <c r="E112" s="1">
        <v>48</v>
      </c>
      <c r="F112" s="2">
        <v>104571</v>
      </c>
      <c r="G112" s="2">
        <v>67547</v>
      </c>
      <c r="H112" s="1" t="s">
        <v>520</v>
      </c>
      <c r="I112" s="1" t="s">
        <v>544</v>
      </c>
      <c r="J112" s="2">
        <v>46065</v>
      </c>
      <c r="K112" s="1">
        <v>691</v>
      </c>
      <c r="L112" s="1" t="s">
        <v>522</v>
      </c>
      <c r="M112" s="2">
        <v>5019408</v>
      </c>
      <c r="N112" s="2">
        <v>3242256</v>
      </c>
      <c r="O112" s="2">
        <v>1731087</v>
      </c>
      <c r="P112" s="3">
        <v>0.34487871876524084</v>
      </c>
      <c r="Q112">
        <v>1</v>
      </c>
      <c r="R112" t="s">
        <v>1096</v>
      </c>
    </row>
    <row r="113" spans="1:18" ht="15.6">
      <c r="A113" s="1" t="s">
        <v>680</v>
      </c>
      <c r="B113" s="4">
        <v>45728</v>
      </c>
      <c r="C113" s="1" t="s">
        <v>541</v>
      </c>
      <c r="D113" s="1" t="s">
        <v>529</v>
      </c>
      <c r="E113" s="1">
        <v>53</v>
      </c>
      <c r="F113" s="2">
        <v>177797</v>
      </c>
      <c r="G113" s="2">
        <v>132395</v>
      </c>
      <c r="H113" s="1" t="s">
        <v>520</v>
      </c>
      <c r="I113" s="1" t="s">
        <v>521</v>
      </c>
      <c r="J113" s="2">
        <v>23983</v>
      </c>
      <c r="K113" s="1">
        <v>808</v>
      </c>
      <c r="L113" s="1" t="s">
        <v>522</v>
      </c>
      <c r="M113" s="2">
        <v>9423241</v>
      </c>
      <c r="N113" s="2">
        <v>7016935</v>
      </c>
      <c r="O113" s="2">
        <v>2382323</v>
      </c>
      <c r="P113" s="3">
        <v>0.25281354896898001</v>
      </c>
      <c r="Q113">
        <v>3</v>
      </c>
      <c r="R113" t="s">
        <v>1104</v>
      </c>
    </row>
    <row r="114" spans="1:18" ht="15.6">
      <c r="A114" s="1" t="s">
        <v>681</v>
      </c>
      <c r="B114" s="4">
        <v>45739</v>
      </c>
      <c r="C114" s="1" t="s">
        <v>549</v>
      </c>
      <c r="D114" s="1" t="s">
        <v>563</v>
      </c>
      <c r="E114" s="1">
        <v>12</v>
      </c>
      <c r="F114" s="2">
        <v>30258</v>
      </c>
      <c r="G114" s="2">
        <v>17947</v>
      </c>
      <c r="H114" s="1" t="s">
        <v>520</v>
      </c>
      <c r="I114" s="1" t="s">
        <v>539</v>
      </c>
      <c r="J114" s="2">
        <v>30742</v>
      </c>
      <c r="K114" s="1">
        <v>689</v>
      </c>
      <c r="L114" s="1" t="s">
        <v>522</v>
      </c>
      <c r="M114" s="2">
        <v>363096</v>
      </c>
      <c r="N114" s="2">
        <v>215364</v>
      </c>
      <c r="O114" s="2">
        <v>116990</v>
      </c>
      <c r="P114" s="3">
        <v>0.32220129111860224</v>
      </c>
      <c r="Q114">
        <v>3</v>
      </c>
      <c r="R114" t="s">
        <v>1104</v>
      </c>
    </row>
    <row r="115" spans="1:18" ht="15.6">
      <c r="A115" s="1" t="s">
        <v>682</v>
      </c>
      <c r="B115" s="4">
        <v>45992</v>
      </c>
      <c r="C115" s="1" t="s">
        <v>658</v>
      </c>
      <c r="D115" s="1" t="s">
        <v>543</v>
      </c>
      <c r="E115" s="1">
        <v>7</v>
      </c>
      <c r="F115" s="2">
        <v>126637</v>
      </c>
      <c r="G115" s="2">
        <v>74404</v>
      </c>
      <c r="H115" s="1" t="s">
        <v>520</v>
      </c>
      <c r="I115" s="1" t="s">
        <v>533</v>
      </c>
      <c r="J115" s="2">
        <v>37837</v>
      </c>
      <c r="K115" s="1">
        <v>687</v>
      </c>
      <c r="L115" s="1" t="s">
        <v>522</v>
      </c>
      <c r="M115" s="2">
        <v>886459</v>
      </c>
      <c r="N115" s="2">
        <v>520828</v>
      </c>
      <c r="O115" s="2">
        <v>327794</v>
      </c>
      <c r="P115" s="3">
        <v>0.36977908735767812</v>
      </c>
      <c r="Q115">
        <v>12</v>
      </c>
      <c r="R115" t="s">
        <v>1102</v>
      </c>
    </row>
    <row r="116" spans="1:18" ht="15.6">
      <c r="A116" s="1" t="s">
        <v>683</v>
      </c>
      <c r="B116" s="4">
        <v>45760</v>
      </c>
      <c r="C116" s="1" t="s">
        <v>604</v>
      </c>
      <c r="D116" s="1" t="s">
        <v>584</v>
      </c>
      <c r="E116" s="1">
        <v>67</v>
      </c>
      <c r="F116" s="2">
        <v>175377</v>
      </c>
      <c r="G116" s="2">
        <v>99634</v>
      </c>
      <c r="H116" s="1" t="s">
        <v>520</v>
      </c>
      <c r="I116" s="1" t="s">
        <v>544</v>
      </c>
      <c r="J116" s="2">
        <v>14622</v>
      </c>
      <c r="K116" s="1">
        <v>724</v>
      </c>
      <c r="L116" s="1" t="s">
        <v>522</v>
      </c>
      <c r="M116" s="2">
        <v>11750259</v>
      </c>
      <c r="N116" s="2">
        <v>6675478</v>
      </c>
      <c r="O116" s="2">
        <v>5060159</v>
      </c>
      <c r="P116" s="3">
        <v>0.43064233733060692</v>
      </c>
      <c r="Q116">
        <v>4</v>
      </c>
      <c r="R116" t="s">
        <v>1098</v>
      </c>
    </row>
    <row r="117" spans="1:18" ht="15.6">
      <c r="A117" s="1" t="s">
        <v>684</v>
      </c>
      <c r="B117" s="4">
        <v>45704</v>
      </c>
      <c r="C117" s="1" t="s">
        <v>604</v>
      </c>
      <c r="D117" s="1" t="s">
        <v>532</v>
      </c>
      <c r="E117" s="1">
        <v>10</v>
      </c>
      <c r="F117" s="2">
        <v>132453</v>
      </c>
      <c r="G117" s="2">
        <v>64031</v>
      </c>
      <c r="H117" s="1" t="s">
        <v>520</v>
      </c>
      <c r="I117" s="1" t="s">
        <v>521</v>
      </c>
      <c r="J117" s="2">
        <v>32405</v>
      </c>
      <c r="K117" s="1">
        <v>939</v>
      </c>
      <c r="L117" s="1" t="s">
        <v>522</v>
      </c>
      <c r="M117" s="2">
        <v>1324530</v>
      </c>
      <c r="N117" s="2">
        <v>640310</v>
      </c>
      <c r="O117" s="2">
        <v>651815</v>
      </c>
      <c r="P117" s="3">
        <v>0.49211040897525915</v>
      </c>
      <c r="Q117">
        <v>2</v>
      </c>
      <c r="R117" t="s">
        <v>1094</v>
      </c>
    </row>
    <row r="118" spans="1:18" ht="15.6">
      <c r="A118" s="1" t="s">
        <v>685</v>
      </c>
      <c r="B118" s="4">
        <v>45895</v>
      </c>
      <c r="C118" s="1" t="s">
        <v>607</v>
      </c>
      <c r="D118" s="1" t="s">
        <v>547</v>
      </c>
      <c r="E118" s="1">
        <v>23</v>
      </c>
      <c r="F118" s="2">
        <v>158352</v>
      </c>
      <c r="G118" s="2">
        <v>115794</v>
      </c>
      <c r="H118" s="1" t="s">
        <v>520</v>
      </c>
      <c r="I118" s="1" t="s">
        <v>544</v>
      </c>
      <c r="J118" s="2">
        <v>3056</v>
      </c>
      <c r="K118" s="1">
        <v>508</v>
      </c>
      <c r="L118" s="1" t="s">
        <v>522</v>
      </c>
      <c r="M118" s="2">
        <v>3642096</v>
      </c>
      <c r="N118" s="2">
        <v>2663262</v>
      </c>
      <c r="O118" s="2">
        <v>975778</v>
      </c>
      <c r="P118" s="3">
        <v>0.26791660626188873</v>
      </c>
      <c r="Q118">
        <v>8</v>
      </c>
      <c r="R118" t="s">
        <v>1097</v>
      </c>
    </row>
    <row r="119" spans="1:18" ht="15.6">
      <c r="A119" s="1" t="s">
        <v>686</v>
      </c>
      <c r="B119" s="4">
        <v>45751</v>
      </c>
      <c r="C119" s="1" t="s">
        <v>646</v>
      </c>
      <c r="D119" s="1" t="s">
        <v>559</v>
      </c>
      <c r="E119" s="1">
        <v>52</v>
      </c>
      <c r="F119" s="2">
        <v>173517</v>
      </c>
      <c r="G119" s="2">
        <v>93648</v>
      </c>
      <c r="H119" s="1" t="s">
        <v>520</v>
      </c>
      <c r="I119" s="1" t="s">
        <v>539</v>
      </c>
      <c r="J119" s="2">
        <v>52994</v>
      </c>
      <c r="K119" s="1">
        <v>774</v>
      </c>
      <c r="L119" s="1" t="s">
        <v>522</v>
      </c>
      <c r="M119" s="2">
        <v>9022884</v>
      </c>
      <c r="N119" s="2">
        <v>4869696</v>
      </c>
      <c r="O119" s="2">
        <v>4100194</v>
      </c>
      <c r="P119" s="3">
        <v>0.45442166828255798</v>
      </c>
      <c r="Q119">
        <v>4</v>
      </c>
      <c r="R119" t="s">
        <v>1098</v>
      </c>
    </row>
    <row r="120" spans="1:18" ht="15.6">
      <c r="A120" s="1" t="s">
        <v>687</v>
      </c>
      <c r="B120" s="4">
        <v>45939</v>
      </c>
      <c r="C120" s="1" t="s">
        <v>579</v>
      </c>
      <c r="D120" s="1" t="s">
        <v>559</v>
      </c>
      <c r="E120" s="1">
        <v>52</v>
      </c>
      <c r="F120" s="2">
        <v>148542</v>
      </c>
      <c r="G120" s="2">
        <v>70708</v>
      </c>
      <c r="H120" s="1" t="s">
        <v>520</v>
      </c>
      <c r="I120" s="1" t="s">
        <v>560</v>
      </c>
      <c r="J120" s="2">
        <v>31886</v>
      </c>
      <c r="K120" s="1">
        <v>878</v>
      </c>
      <c r="L120" s="1" t="s">
        <v>526</v>
      </c>
      <c r="M120" s="2">
        <v>7724184</v>
      </c>
      <c r="N120" s="2">
        <v>3676816</v>
      </c>
      <c r="O120" s="2">
        <v>4015482</v>
      </c>
      <c r="P120" s="3">
        <v>0.51985840834449304</v>
      </c>
      <c r="Q120">
        <v>10</v>
      </c>
      <c r="R120" t="s">
        <v>1095</v>
      </c>
    </row>
    <row r="121" spans="1:18" ht="15.6">
      <c r="A121" s="1" t="s">
        <v>688</v>
      </c>
      <c r="B121" s="4">
        <v>45974</v>
      </c>
      <c r="C121" s="1" t="s">
        <v>579</v>
      </c>
      <c r="D121" s="1" t="s">
        <v>584</v>
      </c>
      <c r="E121" s="1">
        <v>66</v>
      </c>
      <c r="F121" s="2">
        <v>104721</v>
      </c>
      <c r="G121" s="2">
        <v>69746</v>
      </c>
      <c r="H121" s="1" t="s">
        <v>520</v>
      </c>
      <c r="I121" s="1" t="s">
        <v>544</v>
      </c>
      <c r="J121" s="2">
        <v>26801</v>
      </c>
      <c r="K121" s="1">
        <v>477</v>
      </c>
      <c r="L121" s="1" t="s">
        <v>522</v>
      </c>
      <c r="M121" s="2">
        <v>6911586</v>
      </c>
      <c r="N121" s="2">
        <v>4603236</v>
      </c>
      <c r="O121" s="2">
        <v>2281549</v>
      </c>
      <c r="P121" s="3">
        <v>0.33010498603359634</v>
      </c>
      <c r="Q121">
        <v>11</v>
      </c>
      <c r="R121" t="s">
        <v>1105</v>
      </c>
    </row>
    <row r="122" spans="1:18" ht="15.6">
      <c r="A122" s="1" t="s">
        <v>689</v>
      </c>
      <c r="B122" s="4">
        <v>45890</v>
      </c>
      <c r="C122" s="1" t="s">
        <v>649</v>
      </c>
      <c r="D122" s="1" t="s">
        <v>532</v>
      </c>
      <c r="E122" s="1">
        <v>80</v>
      </c>
      <c r="F122" s="2">
        <v>111192</v>
      </c>
      <c r="G122" s="2">
        <v>76333</v>
      </c>
      <c r="H122" s="1" t="s">
        <v>520</v>
      </c>
      <c r="I122" s="1" t="s">
        <v>539</v>
      </c>
      <c r="J122" s="2">
        <v>11841</v>
      </c>
      <c r="K122" s="1">
        <v>83</v>
      </c>
      <c r="L122" s="1" t="s">
        <v>522</v>
      </c>
      <c r="M122" s="2">
        <v>8895360</v>
      </c>
      <c r="N122" s="2">
        <v>6106640</v>
      </c>
      <c r="O122" s="2">
        <v>2776879</v>
      </c>
      <c r="P122" s="3">
        <v>0.31217162655586733</v>
      </c>
      <c r="Q122">
        <v>8</v>
      </c>
      <c r="R122" t="s">
        <v>1097</v>
      </c>
    </row>
    <row r="123" spans="1:18" ht="15.6">
      <c r="A123" s="1" t="s">
        <v>690</v>
      </c>
      <c r="B123" s="4">
        <v>45712</v>
      </c>
      <c r="C123" s="1" t="s">
        <v>524</v>
      </c>
      <c r="D123" s="1" t="s">
        <v>586</v>
      </c>
      <c r="E123" s="1">
        <v>26</v>
      </c>
      <c r="F123" s="2">
        <v>40257</v>
      </c>
      <c r="G123" s="2">
        <v>30473</v>
      </c>
      <c r="H123" s="1" t="s">
        <v>520</v>
      </c>
      <c r="I123" s="1" t="s">
        <v>521</v>
      </c>
      <c r="J123" s="2">
        <v>32423</v>
      </c>
      <c r="K123" s="1">
        <v>841</v>
      </c>
      <c r="L123" s="1" t="s">
        <v>522</v>
      </c>
      <c r="M123" s="2">
        <v>1046682</v>
      </c>
      <c r="N123" s="2">
        <v>792298</v>
      </c>
      <c r="O123" s="2">
        <v>221961</v>
      </c>
      <c r="P123" s="3">
        <v>0.21206154304745853</v>
      </c>
      <c r="Q123">
        <v>2</v>
      </c>
      <c r="R123" t="s">
        <v>1094</v>
      </c>
    </row>
    <row r="124" spans="1:18" ht="15.6">
      <c r="A124" s="1" t="s">
        <v>691</v>
      </c>
      <c r="B124" s="4">
        <v>45916</v>
      </c>
      <c r="C124" s="1" t="s">
        <v>558</v>
      </c>
      <c r="D124" s="1" t="s">
        <v>569</v>
      </c>
      <c r="E124" s="1">
        <v>1</v>
      </c>
      <c r="F124" s="2">
        <v>99223</v>
      </c>
      <c r="G124" s="2">
        <v>46241</v>
      </c>
      <c r="H124" s="1" t="s">
        <v>520</v>
      </c>
      <c r="I124" s="1" t="s">
        <v>560</v>
      </c>
      <c r="J124" s="2">
        <v>33976</v>
      </c>
      <c r="K124" s="1">
        <v>704</v>
      </c>
      <c r="L124" s="1" t="s">
        <v>522</v>
      </c>
      <c r="M124" s="2">
        <v>99223</v>
      </c>
      <c r="N124" s="2">
        <v>46241</v>
      </c>
      <c r="O124" s="2">
        <v>19006</v>
      </c>
      <c r="P124" s="3">
        <v>0.19154833052820414</v>
      </c>
      <c r="Q124">
        <v>9</v>
      </c>
      <c r="R124" t="s">
        <v>1103</v>
      </c>
    </row>
    <row r="125" spans="1:18" ht="15.6">
      <c r="A125" s="1" t="s">
        <v>692</v>
      </c>
      <c r="B125" s="4">
        <v>45838</v>
      </c>
      <c r="C125" s="1" t="s">
        <v>537</v>
      </c>
      <c r="D125" s="1" t="s">
        <v>569</v>
      </c>
      <c r="E125" s="1">
        <v>75</v>
      </c>
      <c r="F125" s="2">
        <v>10615</v>
      </c>
      <c r="G125" s="2">
        <v>71138</v>
      </c>
      <c r="H125" s="1" t="s">
        <v>520</v>
      </c>
      <c r="I125" s="1" t="s">
        <v>560</v>
      </c>
      <c r="J125" s="2">
        <v>22156</v>
      </c>
      <c r="K125" s="1">
        <v>874</v>
      </c>
      <c r="L125" s="1" t="s">
        <v>522</v>
      </c>
      <c r="M125" s="2">
        <v>796125</v>
      </c>
      <c r="N125" s="2">
        <v>5335350</v>
      </c>
      <c r="O125" s="2">
        <v>-4561381</v>
      </c>
      <c r="P125" s="3">
        <v>-5.7294784110535408</v>
      </c>
      <c r="Q125">
        <v>6</v>
      </c>
      <c r="R125" t="s">
        <v>1101</v>
      </c>
    </row>
    <row r="126" spans="1:18" ht="15.6">
      <c r="A126" s="1" t="s">
        <v>693</v>
      </c>
      <c r="B126" s="4">
        <v>45681</v>
      </c>
      <c r="C126" s="1" t="s">
        <v>694</v>
      </c>
      <c r="D126" s="1" t="s">
        <v>553</v>
      </c>
      <c r="E126" s="1">
        <v>10</v>
      </c>
      <c r="F126" s="2">
        <v>69524</v>
      </c>
      <c r="G126" s="2">
        <v>42822</v>
      </c>
      <c r="H126" s="1" t="s">
        <v>520</v>
      </c>
      <c r="I126" s="1" t="s">
        <v>544</v>
      </c>
      <c r="J126" s="2">
        <v>41394</v>
      </c>
      <c r="K126" s="1">
        <v>591</v>
      </c>
      <c r="L126" s="1" t="s">
        <v>526</v>
      </c>
      <c r="M126" s="2">
        <v>695240</v>
      </c>
      <c r="N126" s="2">
        <v>428220</v>
      </c>
      <c r="O126" s="2">
        <v>225626</v>
      </c>
      <c r="P126" s="3">
        <v>0.32452965882285256</v>
      </c>
      <c r="Q126">
        <v>1</v>
      </c>
      <c r="R126" t="s">
        <v>1096</v>
      </c>
    </row>
    <row r="127" spans="1:18" ht="15.6">
      <c r="A127" s="1" t="s">
        <v>695</v>
      </c>
      <c r="B127" s="4">
        <v>45939</v>
      </c>
      <c r="C127" s="1" t="s">
        <v>566</v>
      </c>
      <c r="D127" s="1" t="s">
        <v>556</v>
      </c>
      <c r="E127" s="1">
        <v>71</v>
      </c>
      <c r="F127" s="2">
        <v>20581</v>
      </c>
      <c r="G127" s="2">
        <v>13823</v>
      </c>
      <c r="H127" s="1" t="s">
        <v>520</v>
      </c>
      <c r="I127" s="1" t="s">
        <v>533</v>
      </c>
      <c r="J127" s="2">
        <v>16845</v>
      </c>
      <c r="K127" s="1">
        <v>74</v>
      </c>
      <c r="L127" s="1" t="s">
        <v>522</v>
      </c>
      <c r="M127" s="2">
        <v>1461251</v>
      </c>
      <c r="N127" s="2">
        <v>981433</v>
      </c>
      <c r="O127" s="2">
        <v>462973</v>
      </c>
      <c r="P127" s="3">
        <v>0.31683331611064763</v>
      </c>
      <c r="Q127">
        <v>10</v>
      </c>
      <c r="R127" t="s">
        <v>1095</v>
      </c>
    </row>
    <row r="128" spans="1:18" ht="15.6">
      <c r="A128" s="1" t="s">
        <v>696</v>
      </c>
      <c r="B128" s="4">
        <v>46013</v>
      </c>
      <c r="C128" s="1" t="s">
        <v>583</v>
      </c>
      <c r="D128" s="1" t="s">
        <v>538</v>
      </c>
      <c r="E128" s="1">
        <v>73</v>
      </c>
      <c r="F128" s="2">
        <v>10550</v>
      </c>
      <c r="G128" s="2">
        <v>75595</v>
      </c>
      <c r="H128" s="1" t="s">
        <v>520</v>
      </c>
      <c r="I128" s="1" t="s">
        <v>521</v>
      </c>
      <c r="J128" s="2">
        <v>529</v>
      </c>
      <c r="K128" s="1">
        <v>573</v>
      </c>
      <c r="L128" s="1" t="s">
        <v>522</v>
      </c>
      <c r="M128" s="2">
        <v>770150</v>
      </c>
      <c r="N128" s="2">
        <v>5518435</v>
      </c>
      <c r="O128" s="2">
        <v>-4748814</v>
      </c>
      <c r="P128" s="3">
        <v>-6.1660897227812761</v>
      </c>
      <c r="Q128">
        <v>12</v>
      </c>
      <c r="R128" t="s">
        <v>1102</v>
      </c>
    </row>
    <row r="129" spans="1:18" ht="15.6">
      <c r="A129" s="1" t="s">
        <v>697</v>
      </c>
      <c r="B129" s="4">
        <v>45814</v>
      </c>
      <c r="C129" s="1" t="s">
        <v>549</v>
      </c>
      <c r="D129" s="1" t="s">
        <v>532</v>
      </c>
      <c r="E129" s="1">
        <v>14</v>
      </c>
      <c r="F129" s="2">
        <v>38232</v>
      </c>
      <c r="G129" s="2">
        <v>24858</v>
      </c>
      <c r="H129" s="1" t="s">
        <v>520</v>
      </c>
      <c r="I129" s="1" t="s">
        <v>521</v>
      </c>
      <c r="J129" s="2">
        <v>58478</v>
      </c>
      <c r="K129" s="1">
        <v>548</v>
      </c>
      <c r="L129" s="1" t="s">
        <v>522</v>
      </c>
      <c r="M129" s="2">
        <v>535248</v>
      </c>
      <c r="N129" s="2">
        <v>348012</v>
      </c>
      <c r="O129" s="2">
        <v>128758</v>
      </c>
      <c r="P129" s="3">
        <v>0.24055764804352375</v>
      </c>
      <c r="Q129">
        <v>6</v>
      </c>
      <c r="R129" t="s">
        <v>1101</v>
      </c>
    </row>
    <row r="130" spans="1:18" ht="15.6">
      <c r="A130" s="1" t="s">
        <v>698</v>
      </c>
      <c r="B130" s="4">
        <v>45940</v>
      </c>
      <c r="C130" s="1" t="s">
        <v>524</v>
      </c>
      <c r="D130" s="1" t="s">
        <v>532</v>
      </c>
      <c r="E130" s="1">
        <v>70</v>
      </c>
      <c r="F130" s="2">
        <v>89202</v>
      </c>
      <c r="G130" s="2">
        <v>6296</v>
      </c>
      <c r="H130" s="1" t="s">
        <v>520</v>
      </c>
      <c r="I130" s="1" t="s">
        <v>539</v>
      </c>
      <c r="J130" s="2">
        <v>18398</v>
      </c>
      <c r="K130" s="1">
        <v>836</v>
      </c>
      <c r="L130" s="1" t="s">
        <v>522</v>
      </c>
      <c r="M130" s="2">
        <v>6244140</v>
      </c>
      <c r="N130" s="2">
        <v>440720</v>
      </c>
      <c r="O130" s="2">
        <v>5785022</v>
      </c>
      <c r="P130" s="3">
        <v>0.92647218031626455</v>
      </c>
      <c r="Q130">
        <v>10</v>
      </c>
      <c r="R130" t="s">
        <v>1095</v>
      </c>
    </row>
    <row r="131" spans="1:18" ht="15.6">
      <c r="A131" s="1" t="s">
        <v>699</v>
      </c>
      <c r="B131" s="4">
        <v>45786</v>
      </c>
      <c r="C131" s="1" t="s">
        <v>551</v>
      </c>
      <c r="D131" s="1" t="s">
        <v>567</v>
      </c>
      <c r="E131" s="1">
        <v>29</v>
      </c>
      <c r="F131" s="2">
        <v>96816</v>
      </c>
      <c r="G131" s="2">
        <v>54842</v>
      </c>
      <c r="H131" s="1" t="s">
        <v>520</v>
      </c>
      <c r="I131" s="1" t="s">
        <v>539</v>
      </c>
      <c r="J131" s="2">
        <v>52559</v>
      </c>
      <c r="K131" s="1">
        <v>894</v>
      </c>
      <c r="L131" s="1" t="s">
        <v>522</v>
      </c>
      <c r="M131" s="2">
        <v>2807664</v>
      </c>
      <c r="N131" s="2">
        <v>1590418</v>
      </c>
      <c r="O131" s="2">
        <v>1164687</v>
      </c>
      <c r="P131" s="3">
        <v>0.41482420973449813</v>
      </c>
      <c r="Q131">
        <v>5</v>
      </c>
      <c r="R131" t="s">
        <v>1099</v>
      </c>
    </row>
    <row r="132" spans="1:18" ht="15.6">
      <c r="A132" s="1" t="s">
        <v>700</v>
      </c>
      <c r="B132" s="4">
        <v>45966</v>
      </c>
      <c r="C132" s="1" t="s">
        <v>694</v>
      </c>
      <c r="D132" s="1" t="s">
        <v>553</v>
      </c>
      <c r="E132" s="1">
        <v>16</v>
      </c>
      <c r="F132" s="2">
        <v>121711</v>
      </c>
      <c r="G132" s="2">
        <v>71423</v>
      </c>
      <c r="H132" s="1" t="s">
        <v>520</v>
      </c>
      <c r="I132" s="1" t="s">
        <v>533</v>
      </c>
      <c r="J132" s="2">
        <v>33891</v>
      </c>
      <c r="K132" s="1">
        <v>689</v>
      </c>
      <c r="L132" s="1" t="s">
        <v>522</v>
      </c>
      <c r="M132" s="2">
        <v>1947376</v>
      </c>
      <c r="N132" s="2">
        <v>1142768</v>
      </c>
      <c r="O132" s="2">
        <v>770717</v>
      </c>
      <c r="P132" s="3">
        <v>0.39577205429254547</v>
      </c>
      <c r="Q132">
        <v>11</v>
      </c>
      <c r="R132" t="s">
        <v>1105</v>
      </c>
    </row>
    <row r="133" spans="1:18" ht="15.6">
      <c r="A133" s="1" t="s">
        <v>701</v>
      </c>
      <c r="B133" s="4">
        <v>45951</v>
      </c>
      <c r="C133" s="1" t="s">
        <v>558</v>
      </c>
      <c r="D133" s="1" t="s">
        <v>543</v>
      </c>
      <c r="E133" s="1">
        <v>22</v>
      </c>
      <c r="F133" s="2">
        <v>52421</v>
      </c>
      <c r="G133" s="2">
        <v>26704</v>
      </c>
      <c r="H133" s="1" t="s">
        <v>520</v>
      </c>
      <c r="I133" s="1" t="s">
        <v>560</v>
      </c>
      <c r="J133" s="2">
        <v>63155</v>
      </c>
      <c r="K133" s="1">
        <v>769</v>
      </c>
      <c r="L133" s="1" t="s">
        <v>522</v>
      </c>
      <c r="M133" s="2">
        <v>1153262</v>
      </c>
      <c r="N133" s="2">
        <v>587488</v>
      </c>
      <c r="O133" s="2">
        <v>502619</v>
      </c>
      <c r="P133" s="3">
        <v>0.43582377638385728</v>
      </c>
      <c r="Q133">
        <v>10</v>
      </c>
      <c r="R133" t="s">
        <v>1095</v>
      </c>
    </row>
    <row r="134" spans="1:18" ht="15.6">
      <c r="A134" s="1" t="s">
        <v>702</v>
      </c>
      <c r="B134" s="4">
        <v>45751</v>
      </c>
      <c r="C134" s="1" t="s">
        <v>528</v>
      </c>
      <c r="D134" s="1" t="s">
        <v>556</v>
      </c>
      <c r="E134" s="1">
        <v>66</v>
      </c>
      <c r="F134" s="2">
        <v>53498</v>
      </c>
      <c r="G134" s="2">
        <v>36859</v>
      </c>
      <c r="H134" s="1" t="s">
        <v>520</v>
      </c>
      <c r="I134" s="1" t="s">
        <v>539</v>
      </c>
      <c r="J134" s="2">
        <v>40792</v>
      </c>
      <c r="K134" s="1">
        <v>484</v>
      </c>
      <c r="L134" s="1" t="s">
        <v>526</v>
      </c>
      <c r="M134" s="2">
        <v>3530868</v>
      </c>
      <c r="N134" s="2">
        <v>2432694</v>
      </c>
      <c r="O134" s="2">
        <v>1057382</v>
      </c>
      <c r="P134" s="3">
        <v>0.29946800616732205</v>
      </c>
      <c r="Q134">
        <v>4</v>
      </c>
      <c r="R134" t="s">
        <v>1098</v>
      </c>
    </row>
    <row r="135" spans="1:18" ht="15.6">
      <c r="A135" s="1" t="s">
        <v>703</v>
      </c>
      <c r="B135" s="4">
        <v>45993</v>
      </c>
      <c r="C135" s="1" t="s">
        <v>541</v>
      </c>
      <c r="D135" s="1" t="s">
        <v>525</v>
      </c>
      <c r="E135" s="1">
        <v>41</v>
      </c>
      <c r="F135" s="2">
        <v>78321</v>
      </c>
      <c r="G135" s="2">
        <v>37999</v>
      </c>
      <c r="H135" s="1" t="s">
        <v>520</v>
      </c>
      <c r="I135" s="1" t="s">
        <v>560</v>
      </c>
      <c r="J135" s="2">
        <v>20218</v>
      </c>
      <c r="K135" s="1">
        <v>877</v>
      </c>
      <c r="L135" s="1" t="s">
        <v>526</v>
      </c>
      <c r="M135" s="2">
        <v>3211161</v>
      </c>
      <c r="N135" s="2">
        <v>1557959</v>
      </c>
      <c r="O135" s="2">
        <v>1632984</v>
      </c>
      <c r="P135" s="3">
        <v>0.50853382935330871</v>
      </c>
      <c r="Q135">
        <v>12</v>
      </c>
      <c r="R135" t="s">
        <v>1102</v>
      </c>
    </row>
    <row r="136" spans="1:18" ht="15.6">
      <c r="A136" s="1" t="s">
        <v>704</v>
      </c>
      <c r="B136" s="4">
        <v>45847</v>
      </c>
      <c r="C136" s="1" t="s">
        <v>537</v>
      </c>
      <c r="D136" s="1" t="s">
        <v>532</v>
      </c>
      <c r="E136" s="1">
        <v>62</v>
      </c>
      <c r="F136" s="2">
        <v>5165</v>
      </c>
      <c r="G136" s="2">
        <v>28469</v>
      </c>
      <c r="H136" s="1" t="s">
        <v>520</v>
      </c>
      <c r="I136" s="1" t="s">
        <v>539</v>
      </c>
      <c r="J136" s="2">
        <v>49147</v>
      </c>
      <c r="K136" s="1">
        <v>877</v>
      </c>
      <c r="L136" s="1" t="s">
        <v>522</v>
      </c>
      <c r="M136" s="2">
        <v>320230</v>
      </c>
      <c r="N136" s="2">
        <v>1765078</v>
      </c>
      <c r="O136" s="2">
        <v>-1493995</v>
      </c>
      <c r="P136" s="3">
        <v>-4.6653811323111514</v>
      </c>
      <c r="Q136">
        <v>7</v>
      </c>
      <c r="R136" t="s">
        <v>1100</v>
      </c>
    </row>
    <row r="137" spans="1:18" ht="15.6">
      <c r="A137" s="1" t="s">
        <v>705</v>
      </c>
      <c r="B137" s="4">
        <v>45775</v>
      </c>
      <c r="C137" s="1" t="s">
        <v>566</v>
      </c>
      <c r="D137" s="1" t="s">
        <v>563</v>
      </c>
      <c r="E137" s="1">
        <v>21</v>
      </c>
      <c r="F137" s="2">
        <v>25248</v>
      </c>
      <c r="G137" s="2">
        <v>15597</v>
      </c>
      <c r="H137" s="1" t="s">
        <v>520</v>
      </c>
      <c r="I137" s="1" t="s">
        <v>560</v>
      </c>
      <c r="J137" s="2">
        <v>41842</v>
      </c>
      <c r="K137" s="1">
        <v>792</v>
      </c>
      <c r="L137" s="1" t="s">
        <v>522</v>
      </c>
      <c r="M137" s="2">
        <v>530208</v>
      </c>
      <c r="N137" s="2">
        <v>327537</v>
      </c>
      <c r="O137" s="2">
        <v>160829</v>
      </c>
      <c r="P137" s="3">
        <v>0.30333189993361098</v>
      </c>
      <c r="Q137">
        <v>4</v>
      </c>
      <c r="R137" t="s">
        <v>1098</v>
      </c>
    </row>
    <row r="138" spans="1:18" ht="15.6">
      <c r="A138" s="1" t="s">
        <v>706</v>
      </c>
      <c r="B138" s="4">
        <v>45740</v>
      </c>
      <c r="C138" s="1" t="s">
        <v>551</v>
      </c>
      <c r="D138" s="1" t="s">
        <v>556</v>
      </c>
      <c r="E138" s="1">
        <v>1</v>
      </c>
      <c r="F138" s="2">
        <v>146352</v>
      </c>
      <c r="G138" s="2">
        <v>105618</v>
      </c>
      <c r="H138" s="1" t="s">
        <v>520</v>
      </c>
      <c r="I138" s="1" t="s">
        <v>560</v>
      </c>
      <c r="J138" s="2">
        <v>31123</v>
      </c>
      <c r="K138" s="1">
        <v>482</v>
      </c>
      <c r="L138" s="1" t="s">
        <v>522</v>
      </c>
      <c r="M138" s="2">
        <v>146352</v>
      </c>
      <c r="N138" s="2">
        <v>105618</v>
      </c>
      <c r="O138" s="2">
        <v>9611</v>
      </c>
      <c r="P138" s="3">
        <v>6.5670438395102212E-2</v>
      </c>
      <c r="Q138">
        <v>3</v>
      </c>
      <c r="R138" t="s">
        <v>1104</v>
      </c>
    </row>
    <row r="139" spans="1:18" ht="15.6">
      <c r="A139" s="1" t="s">
        <v>707</v>
      </c>
      <c r="B139" s="4">
        <v>45919</v>
      </c>
      <c r="C139" s="1" t="s">
        <v>555</v>
      </c>
      <c r="D139" s="1" t="s">
        <v>525</v>
      </c>
      <c r="E139" s="1">
        <v>30</v>
      </c>
      <c r="F139" s="2">
        <v>113813</v>
      </c>
      <c r="G139" s="2">
        <v>76531</v>
      </c>
      <c r="H139" s="1" t="s">
        <v>520</v>
      </c>
      <c r="I139" s="1" t="s">
        <v>521</v>
      </c>
      <c r="J139" s="2">
        <v>44301</v>
      </c>
      <c r="K139" s="1">
        <v>938</v>
      </c>
      <c r="L139" s="1" t="s">
        <v>522</v>
      </c>
      <c r="M139" s="2">
        <v>3414390</v>
      </c>
      <c r="N139" s="2">
        <v>2295930</v>
      </c>
      <c r="O139" s="2">
        <v>1074159</v>
      </c>
      <c r="P139" s="3">
        <v>0.31459762944479103</v>
      </c>
      <c r="Q139">
        <v>9</v>
      </c>
      <c r="R139" t="s">
        <v>1103</v>
      </c>
    </row>
    <row r="140" spans="1:18" ht="15.6">
      <c r="A140" s="1" t="s">
        <v>708</v>
      </c>
      <c r="B140" s="4">
        <v>45939</v>
      </c>
      <c r="C140" s="1" t="s">
        <v>636</v>
      </c>
      <c r="D140" s="1" t="s">
        <v>525</v>
      </c>
      <c r="E140" s="1">
        <v>72</v>
      </c>
      <c r="F140" s="2">
        <v>165382</v>
      </c>
      <c r="G140" s="2">
        <v>9342</v>
      </c>
      <c r="H140" s="1" t="s">
        <v>520</v>
      </c>
      <c r="I140" s="1" t="s">
        <v>521</v>
      </c>
      <c r="J140" s="2">
        <v>41382</v>
      </c>
      <c r="K140" s="1">
        <v>547</v>
      </c>
      <c r="L140" s="1" t="s">
        <v>526</v>
      </c>
      <c r="M140" s="2">
        <v>11907504</v>
      </c>
      <c r="N140" s="2">
        <v>672624</v>
      </c>
      <c r="O140" s="2">
        <v>11193498</v>
      </c>
      <c r="P140" s="3">
        <v>0.94003730756672432</v>
      </c>
      <c r="Q140">
        <v>10</v>
      </c>
      <c r="R140" t="s">
        <v>1095</v>
      </c>
    </row>
    <row r="141" spans="1:18" ht="15.6">
      <c r="A141" s="1" t="s">
        <v>709</v>
      </c>
      <c r="B141" s="4">
        <v>45789</v>
      </c>
      <c r="C141" s="1" t="s">
        <v>531</v>
      </c>
      <c r="D141" s="1" t="s">
        <v>532</v>
      </c>
      <c r="E141" s="1">
        <v>74</v>
      </c>
      <c r="F141" s="2">
        <v>51024</v>
      </c>
      <c r="G141" s="2">
        <v>30416</v>
      </c>
      <c r="H141" s="1" t="s">
        <v>520</v>
      </c>
      <c r="I141" s="1" t="s">
        <v>560</v>
      </c>
      <c r="J141" s="2">
        <v>34018</v>
      </c>
      <c r="K141" s="1">
        <v>572</v>
      </c>
      <c r="L141" s="1" t="s">
        <v>522</v>
      </c>
      <c r="M141" s="2">
        <v>3775776</v>
      </c>
      <c r="N141" s="2">
        <v>2250784</v>
      </c>
      <c r="O141" s="2">
        <v>1490974</v>
      </c>
      <c r="P141" s="3">
        <v>0.39487882755756698</v>
      </c>
      <c r="Q141">
        <v>5</v>
      </c>
      <c r="R141" t="s">
        <v>1099</v>
      </c>
    </row>
    <row r="142" spans="1:18" ht="15.6">
      <c r="A142" s="1" t="s">
        <v>710</v>
      </c>
      <c r="B142" s="4">
        <v>45892</v>
      </c>
      <c r="C142" s="1" t="s">
        <v>671</v>
      </c>
      <c r="D142" s="1" t="s">
        <v>569</v>
      </c>
      <c r="E142" s="1">
        <v>76</v>
      </c>
      <c r="F142" s="2">
        <v>156268</v>
      </c>
      <c r="G142" s="2">
        <v>95175</v>
      </c>
      <c r="H142" s="1" t="s">
        <v>520</v>
      </c>
      <c r="I142" s="1" t="s">
        <v>533</v>
      </c>
      <c r="J142" s="2">
        <v>2796</v>
      </c>
      <c r="K142" s="1">
        <v>844</v>
      </c>
      <c r="L142" s="1" t="s">
        <v>522</v>
      </c>
      <c r="M142" s="2">
        <v>11876368</v>
      </c>
      <c r="N142" s="2">
        <v>7233300</v>
      </c>
      <c r="O142" s="2">
        <v>4640272</v>
      </c>
      <c r="P142" s="3">
        <v>0.39071473703071513</v>
      </c>
      <c r="Q142">
        <v>8</v>
      </c>
      <c r="R142" t="s">
        <v>1097</v>
      </c>
    </row>
    <row r="143" spans="1:18" ht="15.6">
      <c r="A143" s="1" t="s">
        <v>711</v>
      </c>
      <c r="B143" s="4">
        <v>45705</v>
      </c>
      <c r="C143" s="1" t="s">
        <v>551</v>
      </c>
      <c r="D143" s="1" t="s">
        <v>556</v>
      </c>
      <c r="E143" s="1">
        <v>44</v>
      </c>
      <c r="F143" s="2">
        <v>21077</v>
      </c>
      <c r="G143" s="2">
        <v>15963</v>
      </c>
      <c r="H143" s="1" t="s">
        <v>520</v>
      </c>
      <c r="I143" s="1" t="s">
        <v>544</v>
      </c>
      <c r="J143" s="2">
        <v>26212</v>
      </c>
      <c r="K143" s="1">
        <v>897</v>
      </c>
      <c r="L143" s="1" t="s">
        <v>522</v>
      </c>
      <c r="M143" s="2">
        <v>927388</v>
      </c>
      <c r="N143" s="2">
        <v>702372</v>
      </c>
      <c r="O143" s="2">
        <v>198804</v>
      </c>
      <c r="P143" s="3">
        <v>0.2143698214770948</v>
      </c>
      <c r="Q143">
        <v>2</v>
      </c>
      <c r="R143" t="s">
        <v>1094</v>
      </c>
    </row>
    <row r="144" spans="1:18" ht="15.6">
      <c r="A144" s="1" t="s">
        <v>712</v>
      </c>
      <c r="B144" s="4">
        <v>45801</v>
      </c>
      <c r="C144" s="1" t="s">
        <v>551</v>
      </c>
      <c r="D144" s="1" t="s">
        <v>519</v>
      </c>
      <c r="E144" s="1">
        <v>74</v>
      </c>
      <c r="F144" s="2">
        <v>30058</v>
      </c>
      <c r="G144" s="2">
        <v>18741</v>
      </c>
      <c r="H144" s="1" t="s">
        <v>520</v>
      </c>
      <c r="I144" s="1" t="s">
        <v>539</v>
      </c>
      <c r="J144" s="2">
        <v>61379</v>
      </c>
      <c r="K144" s="1">
        <v>466</v>
      </c>
      <c r="L144" s="1" t="s">
        <v>522</v>
      </c>
      <c r="M144" s="2">
        <v>2224292</v>
      </c>
      <c r="N144" s="2">
        <v>1386834</v>
      </c>
      <c r="O144" s="2">
        <v>776079</v>
      </c>
      <c r="P144" s="3">
        <v>0.34891057469073306</v>
      </c>
      <c r="Q144">
        <v>5</v>
      </c>
      <c r="R144" t="s">
        <v>1099</v>
      </c>
    </row>
    <row r="145" spans="1:18" ht="15.6">
      <c r="A145" s="1" t="s">
        <v>713</v>
      </c>
      <c r="B145" s="4">
        <v>45833</v>
      </c>
      <c r="C145" s="1" t="s">
        <v>600</v>
      </c>
      <c r="D145" s="1" t="s">
        <v>538</v>
      </c>
      <c r="E145" s="1">
        <v>64</v>
      </c>
      <c r="F145" s="2">
        <v>80918</v>
      </c>
      <c r="G145" s="2">
        <v>47604</v>
      </c>
      <c r="H145" s="1" t="s">
        <v>520</v>
      </c>
      <c r="I145" s="1" t="s">
        <v>544</v>
      </c>
      <c r="J145" s="2">
        <v>5626</v>
      </c>
      <c r="K145" s="1">
        <v>59</v>
      </c>
      <c r="L145" s="1" t="s">
        <v>522</v>
      </c>
      <c r="M145" s="2">
        <v>5178752</v>
      </c>
      <c r="N145" s="2">
        <v>3046656</v>
      </c>
      <c r="O145" s="2">
        <v>2126470</v>
      </c>
      <c r="P145" s="3">
        <v>0.41061437195679579</v>
      </c>
      <c r="Q145">
        <v>6</v>
      </c>
      <c r="R145" t="s">
        <v>1101</v>
      </c>
    </row>
    <row r="146" spans="1:18" ht="15.6">
      <c r="A146" s="1" t="s">
        <v>714</v>
      </c>
      <c r="B146" s="4">
        <v>45759</v>
      </c>
      <c r="C146" s="1" t="s">
        <v>583</v>
      </c>
      <c r="D146" s="1" t="s">
        <v>586</v>
      </c>
      <c r="E146" s="1">
        <v>69</v>
      </c>
      <c r="F146" s="2">
        <v>38021</v>
      </c>
      <c r="G146" s="2">
        <v>2690</v>
      </c>
      <c r="H146" s="1" t="s">
        <v>520</v>
      </c>
      <c r="I146" s="1" t="s">
        <v>544</v>
      </c>
      <c r="J146" s="2">
        <v>45392</v>
      </c>
      <c r="K146" s="1">
        <v>694</v>
      </c>
      <c r="L146" s="1" t="s">
        <v>526</v>
      </c>
      <c r="M146" s="2">
        <v>2623449</v>
      </c>
      <c r="N146" s="2">
        <v>185610</v>
      </c>
      <c r="O146" s="2">
        <v>2392447</v>
      </c>
      <c r="P146" s="3">
        <v>0.91194721147619029</v>
      </c>
      <c r="Q146">
        <v>4</v>
      </c>
      <c r="R146" t="s">
        <v>1098</v>
      </c>
    </row>
    <row r="147" spans="1:18" ht="15.6">
      <c r="A147" s="1" t="s">
        <v>715</v>
      </c>
      <c r="B147" s="4">
        <v>45694</v>
      </c>
      <c r="C147" s="1" t="s">
        <v>535</v>
      </c>
      <c r="D147" s="1" t="s">
        <v>538</v>
      </c>
      <c r="E147" s="1">
        <v>44</v>
      </c>
      <c r="F147" s="2">
        <v>47253</v>
      </c>
      <c r="G147" s="2">
        <v>26205</v>
      </c>
      <c r="H147" s="1" t="s">
        <v>520</v>
      </c>
      <c r="I147" s="1" t="s">
        <v>544</v>
      </c>
      <c r="J147" s="2">
        <v>41323</v>
      </c>
      <c r="K147" s="1">
        <v>648</v>
      </c>
      <c r="L147" s="1" t="s">
        <v>526</v>
      </c>
      <c r="M147" s="2">
        <v>2079132</v>
      </c>
      <c r="N147" s="2">
        <v>1153020</v>
      </c>
      <c r="O147" s="2">
        <v>884789</v>
      </c>
      <c r="P147" s="3">
        <v>0.42555691509726173</v>
      </c>
      <c r="Q147">
        <v>2</v>
      </c>
      <c r="R147" t="s">
        <v>1094</v>
      </c>
    </row>
    <row r="148" spans="1:18" ht="15.6">
      <c r="A148" s="1" t="s">
        <v>716</v>
      </c>
      <c r="B148" s="4">
        <v>45881</v>
      </c>
      <c r="C148" s="1" t="s">
        <v>551</v>
      </c>
      <c r="D148" s="1" t="s">
        <v>519</v>
      </c>
      <c r="E148" s="1">
        <v>21</v>
      </c>
      <c r="F148" s="2">
        <v>130969</v>
      </c>
      <c r="G148" s="2">
        <v>86856</v>
      </c>
      <c r="H148" s="1" t="s">
        <v>520</v>
      </c>
      <c r="I148" s="1" t="s">
        <v>521</v>
      </c>
      <c r="J148" s="2">
        <v>20779</v>
      </c>
      <c r="K148" s="1">
        <v>661</v>
      </c>
      <c r="L148" s="1" t="s">
        <v>522</v>
      </c>
      <c r="M148" s="2">
        <v>2750349</v>
      </c>
      <c r="N148" s="2">
        <v>1823976</v>
      </c>
      <c r="O148" s="2">
        <v>905594</v>
      </c>
      <c r="P148" s="3">
        <v>0.32926512235356314</v>
      </c>
      <c r="Q148">
        <v>8</v>
      </c>
      <c r="R148" t="s">
        <v>1097</v>
      </c>
    </row>
    <row r="149" spans="1:18" ht="15.6">
      <c r="A149" s="1" t="s">
        <v>717</v>
      </c>
      <c r="B149" s="4">
        <v>45922</v>
      </c>
      <c r="C149" s="1" t="s">
        <v>604</v>
      </c>
      <c r="D149" s="1" t="s">
        <v>563</v>
      </c>
      <c r="E149" s="1">
        <v>79</v>
      </c>
      <c r="F149" s="2">
        <v>146903</v>
      </c>
      <c r="G149" s="2">
        <v>99296</v>
      </c>
      <c r="H149" s="1" t="s">
        <v>520</v>
      </c>
      <c r="I149" s="1" t="s">
        <v>560</v>
      </c>
      <c r="J149" s="2">
        <v>53529</v>
      </c>
      <c r="K149" s="1">
        <v>656</v>
      </c>
      <c r="L149" s="1" t="s">
        <v>522</v>
      </c>
      <c r="M149" s="2">
        <v>11605337</v>
      </c>
      <c r="N149" s="2">
        <v>7844384</v>
      </c>
      <c r="O149" s="2">
        <v>3707424</v>
      </c>
      <c r="P149" s="3">
        <v>0.31945853877401403</v>
      </c>
      <c r="Q149">
        <v>9</v>
      </c>
      <c r="R149" t="s">
        <v>1103</v>
      </c>
    </row>
    <row r="150" spans="1:18" ht="15.6">
      <c r="A150" s="1" t="s">
        <v>718</v>
      </c>
      <c r="B150" s="4">
        <v>45751</v>
      </c>
      <c r="C150" s="1" t="s">
        <v>558</v>
      </c>
      <c r="D150" s="1" t="s">
        <v>584</v>
      </c>
      <c r="E150" s="1">
        <v>15</v>
      </c>
      <c r="F150" s="2">
        <v>117546</v>
      </c>
      <c r="G150" s="2">
        <v>76858</v>
      </c>
      <c r="H150" s="1" t="s">
        <v>520</v>
      </c>
      <c r="I150" s="1" t="s">
        <v>560</v>
      </c>
      <c r="J150" s="2">
        <v>3452</v>
      </c>
      <c r="K150" s="1">
        <v>61</v>
      </c>
      <c r="L150" s="1" t="s">
        <v>522</v>
      </c>
      <c r="M150" s="2">
        <v>1763190</v>
      </c>
      <c r="N150" s="2">
        <v>1152870</v>
      </c>
      <c r="O150" s="2">
        <v>606868</v>
      </c>
      <c r="P150" s="3">
        <v>0.34418752374956757</v>
      </c>
      <c r="Q150">
        <v>4</v>
      </c>
      <c r="R150" t="s">
        <v>1098</v>
      </c>
    </row>
    <row r="151" spans="1:18" ht="15.6">
      <c r="A151" s="1" t="s">
        <v>719</v>
      </c>
      <c r="B151" s="4">
        <v>45665</v>
      </c>
      <c r="C151" s="1" t="s">
        <v>549</v>
      </c>
      <c r="D151" s="1" t="s">
        <v>519</v>
      </c>
      <c r="E151" s="1">
        <v>44</v>
      </c>
      <c r="F151" s="2">
        <v>80282</v>
      </c>
      <c r="G151" s="2">
        <v>56943</v>
      </c>
      <c r="H151" s="1" t="s">
        <v>520</v>
      </c>
      <c r="I151" s="1" t="s">
        <v>544</v>
      </c>
      <c r="J151" s="2">
        <v>32821</v>
      </c>
      <c r="K151" s="1">
        <v>846</v>
      </c>
      <c r="L151" s="1" t="s">
        <v>522</v>
      </c>
      <c r="M151" s="2">
        <v>3532408</v>
      </c>
      <c r="N151" s="2">
        <v>2505492</v>
      </c>
      <c r="O151" s="2">
        <v>994095</v>
      </c>
      <c r="P151" s="3">
        <v>0.28142134204202912</v>
      </c>
      <c r="Q151">
        <v>1</v>
      </c>
      <c r="R151" t="s">
        <v>1096</v>
      </c>
    </row>
    <row r="152" spans="1:18" ht="15.6">
      <c r="A152" s="1" t="s">
        <v>720</v>
      </c>
      <c r="B152" s="4">
        <v>45853</v>
      </c>
      <c r="C152" s="1" t="s">
        <v>658</v>
      </c>
      <c r="D152" s="1" t="s">
        <v>543</v>
      </c>
      <c r="E152" s="1">
        <v>16</v>
      </c>
      <c r="F152" s="2">
        <v>175631</v>
      </c>
      <c r="G152" s="2">
        <v>120456</v>
      </c>
      <c r="H152" s="1" t="s">
        <v>520</v>
      </c>
      <c r="I152" s="1" t="s">
        <v>539</v>
      </c>
      <c r="J152" s="2">
        <v>1983</v>
      </c>
      <c r="K152" s="1">
        <v>947</v>
      </c>
      <c r="L152" s="1" t="s">
        <v>522</v>
      </c>
      <c r="M152" s="2">
        <v>2810096</v>
      </c>
      <c r="N152" s="2">
        <v>1927296</v>
      </c>
      <c r="O152" s="2">
        <v>880817</v>
      </c>
      <c r="P152" s="3">
        <v>0.31344729859762799</v>
      </c>
      <c r="Q152">
        <v>7</v>
      </c>
      <c r="R152" t="s">
        <v>1100</v>
      </c>
    </row>
    <row r="153" spans="1:18" ht="15.6">
      <c r="A153" s="1" t="s">
        <v>721</v>
      </c>
      <c r="B153" s="4">
        <v>45893</v>
      </c>
      <c r="C153" s="1" t="s">
        <v>589</v>
      </c>
      <c r="D153" s="1" t="s">
        <v>563</v>
      </c>
      <c r="E153" s="1">
        <v>13</v>
      </c>
      <c r="F153" s="2">
        <v>97636</v>
      </c>
      <c r="G153" s="2">
        <v>7558</v>
      </c>
      <c r="H153" s="1" t="s">
        <v>520</v>
      </c>
      <c r="I153" s="1" t="s">
        <v>539</v>
      </c>
      <c r="J153" s="2">
        <v>45887</v>
      </c>
      <c r="K153" s="1">
        <v>606</v>
      </c>
      <c r="L153" s="1" t="s">
        <v>522</v>
      </c>
      <c r="M153" s="2">
        <v>1269268</v>
      </c>
      <c r="N153" s="2">
        <v>98254</v>
      </c>
      <c r="O153" s="2">
        <v>1125127</v>
      </c>
      <c r="P153" s="3">
        <v>0.88643769479731627</v>
      </c>
      <c r="Q153">
        <v>8</v>
      </c>
      <c r="R153" t="s">
        <v>1097</v>
      </c>
    </row>
    <row r="154" spans="1:18" ht="15.6">
      <c r="A154" s="1" t="s">
        <v>722</v>
      </c>
      <c r="B154" s="4">
        <v>45939</v>
      </c>
      <c r="C154" s="1" t="s">
        <v>646</v>
      </c>
      <c r="D154" s="1" t="s">
        <v>543</v>
      </c>
      <c r="E154" s="1">
        <v>70</v>
      </c>
      <c r="F154" s="2">
        <v>151797</v>
      </c>
      <c r="G154" s="2">
        <v>116849</v>
      </c>
      <c r="H154" s="1" t="s">
        <v>723</v>
      </c>
      <c r="I154" s="1" t="s">
        <v>521</v>
      </c>
      <c r="J154" s="2">
        <v>29385</v>
      </c>
      <c r="K154" s="1">
        <v>691</v>
      </c>
      <c r="L154" s="1" t="s">
        <v>526</v>
      </c>
      <c r="M154" s="2">
        <v>10625790</v>
      </c>
      <c r="N154" s="2">
        <v>8179430</v>
      </c>
      <c r="O154" s="2">
        <v>2416975</v>
      </c>
      <c r="P154" s="3">
        <v>0.22746308745043897</v>
      </c>
      <c r="Q154">
        <v>10</v>
      </c>
      <c r="R154" t="s">
        <v>1095</v>
      </c>
    </row>
    <row r="155" spans="1:18" ht="15.6">
      <c r="A155" s="1" t="s">
        <v>724</v>
      </c>
      <c r="B155" s="4">
        <v>45705</v>
      </c>
      <c r="C155" s="1" t="s">
        <v>579</v>
      </c>
      <c r="D155" s="1" t="s">
        <v>559</v>
      </c>
      <c r="E155" s="1">
        <v>36</v>
      </c>
      <c r="F155" s="2">
        <v>15583</v>
      </c>
      <c r="G155" s="2">
        <v>8728</v>
      </c>
      <c r="H155" s="1" t="s">
        <v>723</v>
      </c>
      <c r="I155" s="1" t="s">
        <v>544</v>
      </c>
      <c r="J155" s="2">
        <v>14695</v>
      </c>
      <c r="K155" s="1">
        <v>671</v>
      </c>
      <c r="L155" s="1" t="s">
        <v>526</v>
      </c>
      <c r="M155" s="2">
        <v>560988</v>
      </c>
      <c r="N155" s="2">
        <v>314208</v>
      </c>
      <c r="O155" s="2">
        <v>232085</v>
      </c>
      <c r="P155" s="3">
        <v>0.4137076015886258</v>
      </c>
      <c r="Q155">
        <v>2</v>
      </c>
      <c r="R155" t="s">
        <v>1094</v>
      </c>
    </row>
    <row r="156" spans="1:18" ht="15.6">
      <c r="A156" s="1" t="s">
        <v>725</v>
      </c>
      <c r="B156" s="4">
        <v>45839</v>
      </c>
      <c r="C156" s="1" t="s">
        <v>604</v>
      </c>
      <c r="D156" s="1" t="s">
        <v>532</v>
      </c>
      <c r="E156" s="1">
        <v>53</v>
      </c>
      <c r="F156" s="2">
        <v>17550</v>
      </c>
      <c r="G156" s="2">
        <v>122381</v>
      </c>
      <c r="H156" s="1" t="s">
        <v>723</v>
      </c>
      <c r="I156" s="1" t="s">
        <v>521</v>
      </c>
      <c r="J156" s="2">
        <v>63572</v>
      </c>
      <c r="K156" s="1">
        <v>855</v>
      </c>
      <c r="L156" s="1" t="s">
        <v>526</v>
      </c>
      <c r="M156" s="2">
        <v>930150</v>
      </c>
      <c r="N156" s="2">
        <v>6486193</v>
      </c>
      <c r="O156" s="2">
        <v>-5619615</v>
      </c>
      <c r="P156" s="3">
        <v>-6.0416223189808091</v>
      </c>
      <c r="Q156">
        <v>7</v>
      </c>
      <c r="R156" t="s">
        <v>1100</v>
      </c>
    </row>
    <row r="157" spans="1:18" ht="15.6">
      <c r="A157" s="1" t="s">
        <v>726</v>
      </c>
      <c r="B157" s="4">
        <v>45896</v>
      </c>
      <c r="C157" s="1" t="s">
        <v>577</v>
      </c>
      <c r="D157" s="1" t="s">
        <v>553</v>
      </c>
      <c r="E157" s="1">
        <v>76</v>
      </c>
      <c r="F157" s="2">
        <v>54164</v>
      </c>
      <c r="G157" s="2">
        <v>39597</v>
      </c>
      <c r="H157" s="1" t="s">
        <v>723</v>
      </c>
      <c r="I157" s="1" t="s">
        <v>544</v>
      </c>
      <c r="J157" s="2">
        <v>57898</v>
      </c>
      <c r="K157" s="1">
        <v>572</v>
      </c>
      <c r="L157" s="1" t="s">
        <v>526</v>
      </c>
      <c r="M157" s="2">
        <v>4116464</v>
      </c>
      <c r="N157" s="2">
        <v>3009372</v>
      </c>
      <c r="O157" s="2">
        <v>1049194</v>
      </c>
      <c r="P157" s="3">
        <v>0.25487748708600388</v>
      </c>
      <c r="Q157">
        <v>8</v>
      </c>
      <c r="R157" t="s">
        <v>1097</v>
      </c>
    </row>
    <row r="158" spans="1:18" ht="15.6">
      <c r="A158" s="1" t="s">
        <v>727</v>
      </c>
      <c r="B158" s="4">
        <v>45832</v>
      </c>
      <c r="C158" s="1" t="s">
        <v>524</v>
      </c>
      <c r="D158" s="1" t="s">
        <v>567</v>
      </c>
      <c r="E158" s="1">
        <v>77</v>
      </c>
      <c r="F158" s="2">
        <v>128604</v>
      </c>
      <c r="G158" s="2">
        <v>69596</v>
      </c>
      <c r="H158" s="1" t="s">
        <v>723</v>
      </c>
      <c r="I158" s="1" t="s">
        <v>560</v>
      </c>
      <c r="J158" s="2">
        <v>61884</v>
      </c>
      <c r="K158" s="1">
        <v>493</v>
      </c>
      <c r="L158" s="1" t="s">
        <v>526</v>
      </c>
      <c r="M158" s="2">
        <v>9902508</v>
      </c>
      <c r="N158" s="2">
        <v>5358892</v>
      </c>
      <c r="O158" s="2">
        <v>4481732</v>
      </c>
      <c r="P158" s="3">
        <v>0.45258554701495823</v>
      </c>
      <c r="Q158">
        <v>6</v>
      </c>
      <c r="R158" t="s">
        <v>1101</v>
      </c>
    </row>
    <row r="159" spans="1:18" ht="15.6">
      <c r="A159" s="1" t="s">
        <v>728</v>
      </c>
      <c r="B159" s="4">
        <v>45764</v>
      </c>
      <c r="C159" s="1" t="s">
        <v>579</v>
      </c>
      <c r="D159" s="1" t="s">
        <v>519</v>
      </c>
      <c r="E159" s="1">
        <v>34</v>
      </c>
      <c r="F159" s="2">
        <v>121594</v>
      </c>
      <c r="G159" s="2">
        <v>61019</v>
      </c>
      <c r="H159" s="1" t="s">
        <v>723</v>
      </c>
      <c r="I159" s="1" t="s">
        <v>560</v>
      </c>
      <c r="J159" s="2">
        <v>9504</v>
      </c>
      <c r="K159" s="1">
        <v>451</v>
      </c>
      <c r="L159" s="1" t="s">
        <v>526</v>
      </c>
      <c r="M159" s="2">
        <v>4134196</v>
      </c>
      <c r="N159" s="2">
        <v>2074646</v>
      </c>
      <c r="O159" s="2">
        <v>2050046</v>
      </c>
      <c r="P159" s="3">
        <v>0.49587537697777273</v>
      </c>
      <c r="Q159">
        <v>4</v>
      </c>
      <c r="R159" t="s">
        <v>1098</v>
      </c>
    </row>
    <row r="160" spans="1:18" ht="15.6">
      <c r="A160" s="1" t="s">
        <v>729</v>
      </c>
      <c r="B160" s="4">
        <v>45898</v>
      </c>
      <c r="C160" s="1" t="s">
        <v>600</v>
      </c>
      <c r="D160" s="1" t="s">
        <v>559</v>
      </c>
      <c r="E160" s="1">
        <v>43</v>
      </c>
      <c r="F160" s="2">
        <v>63222</v>
      </c>
      <c r="G160" s="2">
        <v>30632</v>
      </c>
      <c r="H160" s="1" t="s">
        <v>723</v>
      </c>
      <c r="I160" s="1" t="s">
        <v>544</v>
      </c>
      <c r="J160" s="2">
        <v>29699</v>
      </c>
      <c r="K160" s="1">
        <v>698</v>
      </c>
      <c r="L160" s="1" t="s">
        <v>526</v>
      </c>
      <c r="M160" s="2">
        <v>2718546</v>
      </c>
      <c r="N160" s="2">
        <v>1317176</v>
      </c>
      <c r="O160" s="2">
        <v>1371671</v>
      </c>
      <c r="P160" s="3">
        <v>0.50456052610476332</v>
      </c>
      <c r="Q160">
        <v>8</v>
      </c>
      <c r="R160" t="s">
        <v>1097</v>
      </c>
    </row>
    <row r="161" spans="1:18" ht="15.6">
      <c r="A161" s="1" t="s">
        <v>730</v>
      </c>
      <c r="B161" s="4">
        <v>45963</v>
      </c>
      <c r="C161" s="1" t="s">
        <v>535</v>
      </c>
      <c r="D161" s="1" t="s">
        <v>567</v>
      </c>
      <c r="E161" s="1">
        <v>7</v>
      </c>
      <c r="F161" s="2">
        <v>3476</v>
      </c>
      <c r="G161" s="2">
        <v>24296</v>
      </c>
      <c r="H161" s="1" t="s">
        <v>723</v>
      </c>
      <c r="I161" s="1" t="s">
        <v>533</v>
      </c>
      <c r="J161" s="2">
        <v>21326</v>
      </c>
      <c r="K161" s="1">
        <v>781</v>
      </c>
      <c r="L161" s="1" t="s">
        <v>526</v>
      </c>
      <c r="M161" s="2">
        <v>24332</v>
      </c>
      <c r="N161" s="2">
        <v>170072</v>
      </c>
      <c r="O161" s="2">
        <v>-167066</v>
      </c>
      <c r="P161" s="3">
        <v>-6.8661022521782016</v>
      </c>
      <c r="Q161">
        <v>11</v>
      </c>
      <c r="R161" t="s">
        <v>1105</v>
      </c>
    </row>
    <row r="162" spans="1:18" ht="15.6">
      <c r="A162" s="1" t="s">
        <v>731</v>
      </c>
      <c r="B162" s="4">
        <v>45893</v>
      </c>
      <c r="C162" s="1" t="s">
        <v>658</v>
      </c>
      <c r="D162" s="1" t="s">
        <v>525</v>
      </c>
      <c r="E162" s="1">
        <v>47</v>
      </c>
      <c r="F162" s="2">
        <v>23158</v>
      </c>
      <c r="G162" s="2">
        <v>16875</v>
      </c>
      <c r="H162" s="1" t="s">
        <v>723</v>
      </c>
      <c r="I162" s="1" t="s">
        <v>539</v>
      </c>
      <c r="J162" s="2">
        <v>40332</v>
      </c>
      <c r="K162" s="1">
        <v>712</v>
      </c>
      <c r="L162" s="1" t="s">
        <v>526</v>
      </c>
      <c r="M162" s="2">
        <v>1088426</v>
      </c>
      <c r="N162" s="2">
        <v>793125</v>
      </c>
      <c r="O162" s="2">
        <v>254969</v>
      </c>
      <c r="P162" s="3">
        <v>0.23425478626934673</v>
      </c>
      <c r="Q162">
        <v>8</v>
      </c>
      <c r="R162" t="s">
        <v>1097</v>
      </c>
    </row>
    <row r="163" spans="1:18" ht="15.6">
      <c r="A163" s="1" t="s">
        <v>732</v>
      </c>
      <c r="B163" s="4">
        <v>45777</v>
      </c>
      <c r="C163" s="1" t="s">
        <v>537</v>
      </c>
      <c r="D163" s="1" t="s">
        <v>519</v>
      </c>
      <c r="E163" s="1">
        <v>40</v>
      </c>
      <c r="F163" s="2">
        <v>174083</v>
      </c>
      <c r="G163" s="2">
        <v>123397</v>
      </c>
      <c r="H163" s="1" t="s">
        <v>723</v>
      </c>
      <c r="I163" s="1" t="s">
        <v>544</v>
      </c>
      <c r="J163" s="2">
        <v>45698</v>
      </c>
      <c r="K163" s="1">
        <v>735</v>
      </c>
      <c r="L163" s="1" t="s">
        <v>526</v>
      </c>
      <c r="M163" s="2">
        <v>6963320</v>
      </c>
      <c r="N163" s="2">
        <v>4935880</v>
      </c>
      <c r="O163" s="2">
        <v>1981742</v>
      </c>
      <c r="P163" s="3">
        <v>0.28459728979854437</v>
      </c>
      <c r="Q163">
        <v>4</v>
      </c>
      <c r="R163" t="s">
        <v>1098</v>
      </c>
    </row>
    <row r="164" spans="1:18" ht="15.6">
      <c r="A164" s="1" t="s">
        <v>733</v>
      </c>
      <c r="B164" s="4">
        <v>45888</v>
      </c>
      <c r="C164" s="1" t="s">
        <v>531</v>
      </c>
      <c r="D164" s="1" t="s">
        <v>532</v>
      </c>
      <c r="E164" s="1">
        <v>19</v>
      </c>
      <c r="F164" s="2">
        <v>15094</v>
      </c>
      <c r="G164" s="2">
        <v>72491</v>
      </c>
      <c r="H164" s="1" t="s">
        <v>723</v>
      </c>
      <c r="I164" s="1" t="s">
        <v>539</v>
      </c>
      <c r="J164" s="2">
        <v>58078</v>
      </c>
      <c r="K164" s="1">
        <v>915</v>
      </c>
      <c r="L164" s="1" t="s">
        <v>526</v>
      </c>
      <c r="M164" s="2">
        <v>286786</v>
      </c>
      <c r="N164" s="2">
        <v>1377329</v>
      </c>
      <c r="O164" s="2">
        <v>-1148621</v>
      </c>
      <c r="P164" s="3">
        <v>-4.0051501816685615</v>
      </c>
      <c r="Q164">
        <v>8</v>
      </c>
      <c r="R164" t="s">
        <v>1097</v>
      </c>
    </row>
    <row r="165" spans="1:18" ht="15.6">
      <c r="A165" s="1" t="s">
        <v>734</v>
      </c>
      <c r="B165" s="4">
        <v>45804</v>
      </c>
      <c r="C165" s="1" t="s">
        <v>600</v>
      </c>
      <c r="D165" s="1" t="s">
        <v>553</v>
      </c>
      <c r="E165" s="1">
        <v>7</v>
      </c>
      <c r="F165" s="2">
        <v>156917</v>
      </c>
      <c r="G165" s="2">
        <v>87801</v>
      </c>
      <c r="H165" s="1" t="s">
        <v>723</v>
      </c>
      <c r="I165" s="1" t="s">
        <v>544</v>
      </c>
      <c r="J165" s="2">
        <v>31217</v>
      </c>
      <c r="K165" s="1">
        <v>65</v>
      </c>
      <c r="L165" s="1" t="s">
        <v>526</v>
      </c>
      <c r="M165" s="2">
        <v>1098419</v>
      </c>
      <c r="N165" s="2">
        <v>614607</v>
      </c>
      <c r="O165" s="2">
        <v>452595</v>
      </c>
      <c r="P165" s="3">
        <v>0.41204221704103805</v>
      </c>
      <c r="Q165">
        <v>5</v>
      </c>
      <c r="R165" t="s">
        <v>1099</v>
      </c>
    </row>
    <row r="166" spans="1:18" ht="15.6">
      <c r="A166" s="1" t="s">
        <v>735</v>
      </c>
      <c r="B166" s="4">
        <v>45811</v>
      </c>
      <c r="C166" s="1" t="s">
        <v>518</v>
      </c>
      <c r="D166" s="1" t="s">
        <v>538</v>
      </c>
      <c r="E166" s="1">
        <v>23</v>
      </c>
      <c r="F166" s="2">
        <v>144516</v>
      </c>
      <c r="G166" s="2">
        <v>89295</v>
      </c>
      <c r="H166" s="1" t="s">
        <v>723</v>
      </c>
      <c r="I166" s="1" t="s">
        <v>521</v>
      </c>
      <c r="J166" s="2">
        <v>52524</v>
      </c>
      <c r="K166" s="1">
        <v>568</v>
      </c>
      <c r="L166" s="1" t="s">
        <v>526</v>
      </c>
      <c r="M166" s="2">
        <v>3323868</v>
      </c>
      <c r="N166" s="2">
        <v>2053785</v>
      </c>
      <c r="O166" s="2">
        <v>1217559</v>
      </c>
      <c r="P166" s="3">
        <v>0.36630786782146585</v>
      </c>
      <c r="Q166">
        <v>6</v>
      </c>
      <c r="R166" t="s">
        <v>1101</v>
      </c>
    </row>
    <row r="167" spans="1:18" ht="15.6">
      <c r="A167" s="1" t="s">
        <v>736</v>
      </c>
      <c r="B167" s="4">
        <v>45755</v>
      </c>
      <c r="C167" s="1" t="s">
        <v>546</v>
      </c>
      <c r="D167" s="1" t="s">
        <v>569</v>
      </c>
      <c r="E167" s="1">
        <v>41</v>
      </c>
      <c r="F167" s="2">
        <v>8003</v>
      </c>
      <c r="G167" s="2">
        <v>4692</v>
      </c>
      <c r="H167" s="1" t="s">
        <v>723</v>
      </c>
      <c r="I167" s="1" t="s">
        <v>539</v>
      </c>
      <c r="J167" s="2">
        <v>35109</v>
      </c>
      <c r="K167" s="1">
        <v>756</v>
      </c>
      <c r="L167" s="1" t="s">
        <v>526</v>
      </c>
      <c r="M167" s="2">
        <v>328123</v>
      </c>
      <c r="N167" s="2">
        <v>192372</v>
      </c>
      <c r="O167" s="2">
        <v>100642</v>
      </c>
      <c r="P167" s="3">
        <v>0.30672034572401202</v>
      </c>
      <c r="Q167">
        <v>4</v>
      </c>
      <c r="R167" t="s">
        <v>1098</v>
      </c>
    </row>
    <row r="168" spans="1:18" ht="15.6">
      <c r="A168" s="1" t="s">
        <v>737</v>
      </c>
      <c r="B168" s="4">
        <v>45867</v>
      </c>
      <c r="C168" s="1" t="s">
        <v>558</v>
      </c>
      <c r="D168" s="1" t="s">
        <v>584</v>
      </c>
      <c r="E168" s="1">
        <v>49</v>
      </c>
      <c r="F168" s="2">
        <v>39627</v>
      </c>
      <c r="G168" s="2">
        <v>24867</v>
      </c>
      <c r="H168" s="1" t="s">
        <v>723</v>
      </c>
      <c r="I168" s="1" t="s">
        <v>521</v>
      </c>
      <c r="J168" s="2">
        <v>23044</v>
      </c>
      <c r="K168" s="1">
        <v>804</v>
      </c>
      <c r="L168" s="1" t="s">
        <v>526</v>
      </c>
      <c r="M168" s="2">
        <v>1941723</v>
      </c>
      <c r="N168" s="2">
        <v>1218483</v>
      </c>
      <c r="O168" s="2">
        <v>700196</v>
      </c>
      <c r="P168" s="3">
        <v>0.3606055034626463</v>
      </c>
      <c r="Q168">
        <v>7</v>
      </c>
      <c r="R168" t="s">
        <v>1100</v>
      </c>
    </row>
    <row r="169" spans="1:18" ht="15.6">
      <c r="A169" s="1" t="s">
        <v>738</v>
      </c>
      <c r="B169" s="4">
        <v>45687</v>
      </c>
      <c r="C169" s="1" t="s">
        <v>537</v>
      </c>
      <c r="D169" s="1" t="s">
        <v>559</v>
      </c>
      <c r="E169" s="1">
        <v>54</v>
      </c>
      <c r="F169" s="2">
        <v>103853</v>
      </c>
      <c r="G169" s="2">
        <v>51329</v>
      </c>
      <c r="H169" s="1" t="s">
        <v>723</v>
      </c>
      <c r="I169" s="1" t="s">
        <v>544</v>
      </c>
      <c r="J169" s="2">
        <v>1720</v>
      </c>
      <c r="K169" s="1">
        <v>773</v>
      </c>
      <c r="L169" s="1" t="s">
        <v>526</v>
      </c>
      <c r="M169" s="2">
        <v>5608062</v>
      </c>
      <c r="N169" s="2">
        <v>2771766</v>
      </c>
      <c r="O169" s="2">
        <v>2834576</v>
      </c>
      <c r="P169" s="3">
        <v>0.50544662309368193</v>
      </c>
      <c r="Q169">
        <v>1</v>
      </c>
      <c r="R169" t="s">
        <v>1096</v>
      </c>
    </row>
    <row r="170" spans="1:18" ht="15.6">
      <c r="A170" s="1" t="s">
        <v>739</v>
      </c>
      <c r="B170" s="4">
        <v>45903</v>
      </c>
      <c r="C170" s="1" t="s">
        <v>574</v>
      </c>
      <c r="D170" s="1" t="s">
        <v>519</v>
      </c>
      <c r="E170" s="1">
        <v>78</v>
      </c>
      <c r="F170" s="2">
        <v>129048</v>
      </c>
      <c r="G170" s="2">
        <v>74963</v>
      </c>
      <c r="H170" s="1" t="s">
        <v>723</v>
      </c>
      <c r="I170" s="1" t="s">
        <v>560</v>
      </c>
      <c r="J170" s="2">
        <v>24297</v>
      </c>
      <c r="K170" s="1">
        <v>592</v>
      </c>
      <c r="L170" s="1" t="s">
        <v>526</v>
      </c>
      <c r="M170" s="2">
        <v>10065744</v>
      </c>
      <c r="N170" s="2">
        <v>5847114</v>
      </c>
      <c r="O170" s="2">
        <v>4194333</v>
      </c>
      <c r="P170" s="3">
        <v>0.41669378835782034</v>
      </c>
      <c r="Q170">
        <v>9</v>
      </c>
      <c r="R170" t="s">
        <v>1103</v>
      </c>
    </row>
    <row r="171" spans="1:18" ht="15.6">
      <c r="A171" s="1" t="s">
        <v>740</v>
      </c>
      <c r="B171" s="4">
        <v>45936</v>
      </c>
      <c r="C171" s="1" t="s">
        <v>583</v>
      </c>
      <c r="D171" s="1" t="s">
        <v>556</v>
      </c>
      <c r="E171" s="1">
        <v>5</v>
      </c>
      <c r="F171" s="2">
        <v>38849</v>
      </c>
      <c r="G171" s="2">
        <v>28385</v>
      </c>
      <c r="H171" s="1" t="s">
        <v>723</v>
      </c>
      <c r="I171" s="1" t="s">
        <v>521</v>
      </c>
      <c r="J171" s="2">
        <v>40222</v>
      </c>
      <c r="K171" s="1">
        <v>826</v>
      </c>
      <c r="L171" s="1" t="s">
        <v>526</v>
      </c>
      <c r="M171" s="2">
        <v>194245</v>
      </c>
      <c r="N171" s="2">
        <v>141925</v>
      </c>
      <c r="O171" s="2">
        <v>12098</v>
      </c>
      <c r="P171" s="3">
        <v>6.2282169425210428E-2</v>
      </c>
      <c r="Q171">
        <v>10</v>
      </c>
      <c r="R171" t="s">
        <v>1095</v>
      </c>
    </row>
    <row r="172" spans="1:18" ht="15.6">
      <c r="A172" s="1" t="s">
        <v>741</v>
      </c>
      <c r="B172" s="4">
        <v>45717</v>
      </c>
      <c r="C172" s="1" t="s">
        <v>658</v>
      </c>
      <c r="D172" s="1" t="s">
        <v>525</v>
      </c>
      <c r="E172" s="1">
        <v>19</v>
      </c>
      <c r="F172" s="2">
        <v>67913</v>
      </c>
      <c r="G172" s="2">
        <v>38249</v>
      </c>
      <c r="H172" s="1" t="s">
        <v>723</v>
      </c>
      <c r="I172" s="1" t="s">
        <v>560</v>
      </c>
      <c r="J172" s="2">
        <v>33976</v>
      </c>
      <c r="K172" s="1">
        <v>688</v>
      </c>
      <c r="L172" s="1" t="s">
        <v>526</v>
      </c>
      <c r="M172" s="2">
        <v>1290347</v>
      </c>
      <c r="N172" s="2">
        <v>726731</v>
      </c>
      <c r="O172" s="2">
        <v>529640</v>
      </c>
      <c r="P172" s="3">
        <v>0.41046323198333473</v>
      </c>
      <c r="Q172">
        <v>3</v>
      </c>
      <c r="R172" t="s">
        <v>1104</v>
      </c>
    </row>
    <row r="173" spans="1:18" ht="15.6">
      <c r="A173" s="1" t="s">
        <v>742</v>
      </c>
      <c r="B173" s="4">
        <v>45783</v>
      </c>
      <c r="C173" s="1" t="s">
        <v>607</v>
      </c>
      <c r="D173" s="1" t="s">
        <v>569</v>
      </c>
      <c r="E173" s="1">
        <v>47</v>
      </c>
      <c r="F173" s="2">
        <v>73872</v>
      </c>
      <c r="G173" s="2">
        <v>36901</v>
      </c>
      <c r="H173" s="1" t="s">
        <v>723</v>
      </c>
      <c r="I173" s="1" t="s">
        <v>560</v>
      </c>
      <c r="J173" s="2">
        <v>53187</v>
      </c>
      <c r="K173" s="1">
        <v>807</v>
      </c>
      <c r="L173" s="1" t="s">
        <v>526</v>
      </c>
      <c r="M173" s="2">
        <v>3471984</v>
      </c>
      <c r="N173" s="2">
        <v>1734347</v>
      </c>
      <c r="O173" s="2">
        <v>1684450</v>
      </c>
      <c r="P173" s="3">
        <v>0.4851548855063848</v>
      </c>
      <c r="Q173">
        <v>5</v>
      </c>
      <c r="R173" t="s">
        <v>1099</v>
      </c>
    </row>
    <row r="174" spans="1:18" ht="15.6">
      <c r="A174" s="1" t="s">
        <v>743</v>
      </c>
      <c r="B174" s="4">
        <v>45696</v>
      </c>
      <c r="C174" s="1" t="s">
        <v>583</v>
      </c>
      <c r="D174" s="1" t="s">
        <v>586</v>
      </c>
      <c r="E174" s="1">
        <v>8</v>
      </c>
      <c r="F174" s="2">
        <v>82817</v>
      </c>
      <c r="G174" s="2">
        <v>63619</v>
      </c>
      <c r="H174" s="1" t="s">
        <v>723</v>
      </c>
      <c r="I174" s="1" t="s">
        <v>544</v>
      </c>
      <c r="J174" s="2">
        <v>20659</v>
      </c>
      <c r="K174" s="1">
        <v>608</v>
      </c>
      <c r="L174" s="1" t="s">
        <v>526</v>
      </c>
      <c r="M174" s="2">
        <v>662536</v>
      </c>
      <c r="N174" s="2">
        <v>508952</v>
      </c>
      <c r="O174" s="2">
        <v>132925</v>
      </c>
      <c r="P174" s="3">
        <v>0.20063060724247436</v>
      </c>
      <c r="Q174">
        <v>2</v>
      </c>
      <c r="R174" t="s">
        <v>1094</v>
      </c>
    </row>
    <row r="175" spans="1:18" ht="15.6">
      <c r="A175" s="1" t="s">
        <v>744</v>
      </c>
      <c r="B175" s="4">
        <v>45801</v>
      </c>
      <c r="C175" s="1" t="s">
        <v>566</v>
      </c>
      <c r="D175" s="1" t="s">
        <v>567</v>
      </c>
      <c r="E175" s="1">
        <v>20</v>
      </c>
      <c r="F175" s="2">
        <v>1396</v>
      </c>
      <c r="G175" s="2">
        <v>9134</v>
      </c>
      <c r="H175" s="1" t="s">
        <v>723</v>
      </c>
      <c r="I175" s="1" t="s">
        <v>544</v>
      </c>
      <c r="J175" s="2">
        <v>34933</v>
      </c>
      <c r="K175" s="1">
        <v>891</v>
      </c>
      <c r="L175" s="1" t="s">
        <v>526</v>
      </c>
      <c r="M175" s="2">
        <v>27920</v>
      </c>
      <c r="N175" s="2">
        <v>182680</v>
      </c>
      <c r="O175" s="2">
        <v>-189693</v>
      </c>
      <c r="P175" s="3">
        <v>-6.7941618911174784</v>
      </c>
      <c r="Q175">
        <v>5</v>
      </c>
      <c r="R175" t="s">
        <v>1099</v>
      </c>
    </row>
    <row r="176" spans="1:18" ht="15.6">
      <c r="A176" s="1" t="s">
        <v>745</v>
      </c>
      <c r="B176" s="4">
        <v>46018</v>
      </c>
      <c r="C176" s="1" t="s">
        <v>671</v>
      </c>
      <c r="D176" s="1" t="s">
        <v>559</v>
      </c>
      <c r="E176" s="1">
        <v>76</v>
      </c>
      <c r="F176" s="2">
        <v>25378</v>
      </c>
      <c r="G176" s="2">
        <v>13947</v>
      </c>
      <c r="H176" s="1" t="s">
        <v>723</v>
      </c>
      <c r="I176" s="1" t="s">
        <v>521</v>
      </c>
      <c r="J176" s="2">
        <v>48941</v>
      </c>
      <c r="K176" s="1">
        <v>668</v>
      </c>
      <c r="L176" s="1" t="s">
        <v>526</v>
      </c>
      <c r="M176" s="2">
        <v>1928728</v>
      </c>
      <c r="N176" s="2">
        <v>1059972</v>
      </c>
      <c r="O176" s="2">
        <v>819815</v>
      </c>
      <c r="P176" s="3">
        <v>0.4250547511105765</v>
      </c>
      <c r="Q176">
        <v>12</v>
      </c>
      <c r="R176" t="s">
        <v>1102</v>
      </c>
    </row>
    <row r="177" spans="1:18" ht="15.6">
      <c r="A177" s="1" t="s">
        <v>746</v>
      </c>
      <c r="B177" s="4">
        <v>45702</v>
      </c>
      <c r="C177" s="1" t="s">
        <v>636</v>
      </c>
      <c r="D177" s="1" t="s">
        <v>553</v>
      </c>
      <c r="E177" s="1">
        <v>77</v>
      </c>
      <c r="F177" s="2">
        <v>90616</v>
      </c>
      <c r="G177" s="2">
        <v>43677</v>
      </c>
      <c r="H177" s="1" t="s">
        <v>723</v>
      </c>
      <c r="I177" s="1" t="s">
        <v>521</v>
      </c>
      <c r="J177" s="2">
        <v>43291</v>
      </c>
      <c r="K177" s="1">
        <v>939</v>
      </c>
      <c r="L177" s="1" t="s">
        <v>526</v>
      </c>
      <c r="M177" s="2">
        <v>6977432</v>
      </c>
      <c r="N177" s="2">
        <v>3363129</v>
      </c>
      <c r="O177" s="2">
        <v>3571012</v>
      </c>
      <c r="P177" s="3">
        <v>0.51179459720997644</v>
      </c>
      <c r="Q177">
        <v>2</v>
      </c>
      <c r="R177" t="s">
        <v>1094</v>
      </c>
    </row>
    <row r="178" spans="1:18" ht="15.6">
      <c r="A178" s="1" t="s">
        <v>747</v>
      </c>
      <c r="B178" s="4">
        <v>46005</v>
      </c>
      <c r="C178" s="1" t="s">
        <v>566</v>
      </c>
      <c r="D178" s="1" t="s">
        <v>538</v>
      </c>
      <c r="E178" s="1">
        <v>79</v>
      </c>
      <c r="F178" s="2">
        <v>73317</v>
      </c>
      <c r="G178" s="2">
        <v>41669</v>
      </c>
      <c r="H178" s="1" t="s">
        <v>723</v>
      </c>
      <c r="I178" s="1" t="s">
        <v>521</v>
      </c>
      <c r="J178" s="2">
        <v>33985</v>
      </c>
      <c r="K178" s="1">
        <v>694</v>
      </c>
      <c r="L178" s="1" t="s">
        <v>526</v>
      </c>
      <c r="M178" s="2">
        <v>5792043</v>
      </c>
      <c r="N178" s="2">
        <v>3291851</v>
      </c>
      <c r="O178" s="2">
        <v>2466207</v>
      </c>
      <c r="P178" s="3">
        <v>0.42579224636281188</v>
      </c>
      <c r="Q178">
        <v>12</v>
      </c>
      <c r="R178" t="s">
        <v>1102</v>
      </c>
    </row>
    <row r="179" spans="1:18" ht="15.6">
      <c r="A179" s="1" t="s">
        <v>748</v>
      </c>
      <c r="B179" s="4">
        <v>45659</v>
      </c>
      <c r="C179" s="1" t="s">
        <v>649</v>
      </c>
      <c r="D179" s="1" t="s">
        <v>529</v>
      </c>
      <c r="E179" s="1">
        <v>38</v>
      </c>
      <c r="F179" s="2">
        <v>102203</v>
      </c>
      <c r="G179" s="2">
        <v>58602</v>
      </c>
      <c r="H179" s="1" t="s">
        <v>723</v>
      </c>
      <c r="I179" s="1" t="s">
        <v>533</v>
      </c>
      <c r="J179" s="2">
        <v>58813</v>
      </c>
      <c r="K179" s="1">
        <v>696</v>
      </c>
      <c r="L179" s="1" t="s">
        <v>526</v>
      </c>
      <c r="M179" s="2">
        <v>3883714</v>
      </c>
      <c r="N179" s="2">
        <v>2226876</v>
      </c>
      <c r="O179" s="2">
        <v>1598025</v>
      </c>
      <c r="P179" s="3">
        <v>0.41146824920681596</v>
      </c>
      <c r="Q179">
        <v>1</v>
      </c>
      <c r="R179" t="s">
        <v>1096</v>
      </c>
    </row>
    <row r="180" spans="1:18" ht="15.6">
      <c r="A180" s="1" t="s">
        <v>749</v>
      </c>
      <c r="B180" s="4">
        <v>45719</v>
      </c>
      <c r="C180" s="1" t="s">
        <v>551</v>
      </c>
      <c r="D180" s="1" t="s">
        <v>543</v>
      </c>
      <c r="E180" s="1">
        <v>55</v>
      </c>
      <c r="F180" s="2">
        <v>56007</v>
      </c>
      <c r="G180" s="2">
        <v>30087</v>
      </c>
      <c r="H180" s="1" t="s">
        <v>723</v>
      </c>
      <c r="I180" s="1" t="s">
        <v>560</v>
      </c>
      <c r="J180" s="2">
        <v>55761</v>
      </c>
      <c r="K180" s="1">
        <v>453</v>
      </c>
      <c r="L180" s="1" t="s">
        <v>526</v>
      </c>
      <c r="M180" s="2">
        <v>3080385</v>
      </c>
      <c r="N180" s="2">
        <v>1654785</v>
      </c>
      <c r="O180" s="2">
        <v>1369839</v>
      </c>
      <c r="P180" s="3">
        <v>0.44469733491105817</v>
      </c>
      <c r="Q180">
        <v>3</v>
      </c>
      <c r="R180" t="s">
        <v>1104</v>
      </c>
    </row>
    <row r="181" spans="1:18" ht="15.6">
      <c r="A181" s="1" t="s">
        <v>750</v>
      </c>
      <c r="B181" s="4">
        <v>45934</v>
      </c>
      <c r="C181" s="1" t="s">
        <v>658</v>
      </c>
      <c r="D181" s="1" t="s">
        <v>543</v>
      </c>
      <c r="E181" s="1">
        <v>56</v>
      </c>
      <c r="F181" s="2">
        <v>97792</v>
      </c>
      <c r="G181" s="2">
        <v>55959</v>
      </c>
      <c r="H181" s="1" t="s">
        <v>723</v>
      </c>
      <c r="I181" s="1" t="s">
        <v>560</v>
      </c>
      <c r="J181" s="2">
        <v>30737</v>
      </c>
      <c r="K181" s="1">
        <v>919</v>
      </c>
      <c r="L181" s="1" t="s">
        <v>526</v>
      </c>
      <c r="M181" s="2">
        <v>5476352</v>
      </c>
      <c r="N181" s="2">
        <v>3133704</v>
      </c>
      <c r="O181" s="2">
        <v>2311911</v>
      </c>
      <c r="P181" s="3">
        <v>0.42216260021269636</v>
      </c>
      <c r="Q181">
        <v>10</v>
      </c>
      <c r="R181" t="s">
        <v>1095</v>
      </c>
    </row>
    <row r="182" spans="1:18" ht="15.6">
      <c r="A182" s="1" t="s">
        <v>751</v>
      </c>
      <c r="B182" s="4">
        <v>45936</v>
      </c>
      <c r="C182" s="1" t="s">
        <v>577</v>
      </c>
      <c r="D182" s="1" t="s">
        <v>584</v>
      </c>
      <c r="E182" s="1">
        <v>25</v>
      </c>
      <c r="F182" s="2">
        <v>8941</v>
      </c>
      <c r="G182" s="2">
        <v>6218</v>
      </c>
      <c r="H182" s="1" t="s">
        <v>723</v>
      </c>
      <c r="I182" s="1" t="s">
        <v>560</v>
      </c>
      <c r="J182" s="2">
        <v>36352</v>
      </c>
      <c r="K182" s="1">
        <v>71</v>
      </c>
      <c r="L182" s="1" t="s">
        <v>526</v>
      </c>
      <c r="M182" s="2">
        <v>223525</v>
      </c>
      <c r="N182" s="2">
        <v>155450</v>
      </c>
      <c r="O182" s="2">
        <v>31723</v>
      </c>
      <c r="P182" s="3">
        <v>0.14192148529247287</v>
      </c>
      <c r="Q182">
        <v>10</v>
      </c>
      <c r="R182" t="s">
        <v>1095</v>
      </c>
    </row>
    <row r="183" spans="1:18" ht="15.6">
      <c r="A183" s="1" t="s">
        <v>752</v>
      </c>
      <c r="B183" s="4">
        <v>45698</v>
      </c>
      <c r="C183" s="1" t="s">
        <v>551</v>
      </c>
      <c r="D183" s="1" t="s">
        <v>586</v>
      </c>
      <c r="E183" s="1">
        <v>37</v>
      </c>
      <c r="F183" s="2">
        <v>87765</v>
      </c>
      <c r="G183" s="2">
        <v>6720</v>
      </c>
      <c r="H183" s="1" t="s">
        <v>723</v>
      </c>
      <c r="I183" s="1" t="s">
        <v>544</v>
      </c>
      <c r="J183" s="2">
        <v>30309</v>
      </c>
      <c r="K183" s="1">
        <v>756</v>
      </c>
      <c r="L183" s="1" t="s">
        <v>526</v>
      </c>
      <c r="M183" s="2">
        <v>3247305</v>
      </c>
      <c r="N183" s="2">
        <v>248640</v>
      </c>
      <c r="O183" s="2">
        <v>2968356</v>
      </c>
      <c r="P183" s="3">
        <v>0.91409830613385556</v>
      </c>
      <c r="Q183">
        <v>2</v>
      </c>
      <c r="R183" t="s">
        <v>1094</v>
      </c>
    </row>
    <row r="184" spans="1:18" ht="15.6">
      <c r="A184" s="1" t="s">
        <v>753</v>
      </c>
      <c r="B184" s="4">
        <v>46016</v>
      </c>
      <c r="C184" s="1" t="s">
        <v>589</v>
      </c>
      <c r="D184" s="1" t="s">
        <v>547</v>
      </c>
      <c r="E184" s="1">
        <v>27</v>
      </c>
      <c r="F184" s="2">
        <v>36709</v>
      </c>
      <c r="G184" s="2">
        <v>17767</v>
      </c>
      <c r="H184" s="1" t="s">
        <v>723</v>
      </c>
      <c r="I184" s="1" t="s">
        <v>539</v>
      </c>
      <c r="J184" s="2">
        <v>37906</v>
      </c>
      <c r="K184" s="1">
        <v>463</v>
      </c>
      <c r="L184" s="1" t="s">
        <v>526</v>
      </c>
      <c r="M184" s="2">
        <v>991143</v>
      </c>
      <c r="N184" s="2">
        <v>479709</v>
      </c>
      <c r="O184" s="2">
        <v>473528</v>
      </c>
      <c r="P184" s="3">
        <v>0.4777595160335088</v>
      </c>
      <c r="Q184">
        <v>12</v>
      </c>
      <c r="R184" t="s">
        <v>1102</v>
      </c>
    </row>
    <row r="185" spans="1:18" ht="15.6">
      <c r="A185" s="1" t="s">
        <v>754</v>
      </c>
      <c r="B185" s="4">
        <v>45884</v>
      </c>
      <c r="C185" s="1" t="s">
        <v>579</v>
      </c>
      <c r="D185" s="1" t="s">
        <v>538</v>
      </c>
      <c r="E185" s="1">
        <v>17</v>
      </c>
      <c r="F185" s="2">
        <v>9860</v>
      </c>
      <c r="G185" s="2">
        <v>49921</v>
      </c>
      <c r="H185" s="1" t="s">
        <v>723</v>
      </c>
      <c r="I185" s="1" t="s">
        <v>544</v>
      </c>
      <c r="J185" s="2">
        <v>56622</v>
      </c>
      <c r="K185" s="1">
        <v>613</v>
      </c>
      <c r="L185" s="1" t="s">
        <v>526</v>
      </c>
      <c r="M185" s="2">
        <v>167620</v>
      </c>
      <c r="N185" s="2">
        <v>848657</v>
      </c>
      <c r="O185" s="2">
        <v>-737659</v>
      </c>
      <c r="P185" s="3">
        <v>-4.4007815296503994</v>
      </c>
      <c r="Q185">
        <v>8</v>
      </c>
      <c r="R185" t="s">
        <v>1097</v>
      </c>
    </row>
    <row r="186" spans="1:18" ht="15.6">
      <c r="A186" s="1" t="s">
        <v>755</v>
      </c>
      <c r="B186" s="4">
        <v>45869</v>
      </c>
      <c r="C186" s="1" t="s">
        <v>524</v>
      </c>
      <c r="D186" s="1" t="s">
        <v>538</v>
      </c>
      <c r="E186" s="1">
        <v>39</v>
      </c>
      <c r="F186" s="2">
        <v>9816</v>
      </c>
      <c r="G186" s="2">
        <v>6112</v>
      </c>
      <c r="H186" s="1" t="s">
        <v>723</v>
      </c>
      <c r="I186" s="1" t="s">
        <v>544</v>
      </c>
      <c r="J186" s="2">
        <v>22206</v>
      </c>
      <c r="K186" s="1">
        <v>718</v>
      </c>
      <c r="L186" s="1" t="s">
        <v>526</v>
      </c>
      <c r="M186" s="2">
        <v>382824</v>
      </c>
      <c r="N186" s="2">
        <v>238368</v>
      </c>
      <c r="O186" s="2">
        <v>122250</v>
      </c>
      <c r="P186" s="3">
        <v>0.31933734562096422</v>
      </c>
      <c r="Q186">
        <v>7</v>
      </c>
      <c r="R186" t="s">
        <v>1100</v>
      </c>
    </row>
    <row r="187" spans="1:18" ht="15.6">
      <c r="A187" s="1" t="s">
        <v>756</v>
      </c>
      <c r="B187" s="4">
        <v>45985</v>
      </c>
      <c r="C187" s="1" t="s">
        <v>646</v>
      </c>
      <c r="D187" s="1" t="s">
        <v>543</v>
      </c>
      <c r="E187" s="1">
        <v>36</v>
      </c>
      <c r="F187" s="2">
        <v>50121</v>
      </c>
      <c r="G187" s="2">
        <v>24862</v>
      </c>
      <c r="H187" s="1" t="s">
        <v>723</v>
      </c>
      <c r="I187" s="1" t="s">
        <v>560</v>
      </c>
      <c r="J187" s="2">
        <v>10216</v>
      </c>
      <c r="K187" s="1">
        <v>661</v>
      </c>
      <c r="L187" s="1" t="s">
        <v>522</v>
      </c>
      <c r="M187" s="2">
        <v>1804356</v>
      </c>
      <c r="N187" s="2">
        <v>895032</v>
      </c>
      <c r="O187" s="2">
        <v>899108</v>
      </c>
      <c r="P187" s="3">
        <v>0.49829856192458694</v>
      </c>
      <c r="Q187">
        <v>11</v>
      </c>
      <c r="R187" t="s">
        <v>1105</v>
      </c>
    </row>
    <row r="188" spans="1:18" ht="15.6">
      <c r="A188" s="1" t="s">
        <v>757</v>
      </c>
      <c r="B188" s="4">
        <v>45661</v>
      </c>
      <c r="C188" s="1" t="s">
        <v>604</v>
      </c>
      <c r="D188" s="1" t="s">
        <v>563</v>
      </c>
      <c r="E188" s="1">
        <v>21</v>
      </c>
      <c r="F188" s="2">
        <v>12808</v>
      </c>
      <c r="G188" s="2">
        <v>72017</v>
      </c>
      <c r="H188" s="1" t="s">
        <v>723</v>
      </c>
      <c r="I188" s="1" t="s">
        <v>521</v>
      </c>
      <c r="J188" s="2">
        <v>62433</v>
      </c>
      <c r="K188" s="1">
        <v>618</v>
      </c>
      <c r="L188" s="1" t="s">
        <v>522</v>
      </c>
      <c r="M188" s="2">
        <v>268968</v>
      </c>
      <c r="N188" s="2">
        <v>1512357</v>
      </c>
      <c r="O188" s="2">
        <v>-1305822</v>
      </c>
      <c r="P188" s="3">
        <v>-4.8549344159900061</v>
      </c>
      <c r="Q188">
        <v>1</v>
      </c>
      <c r="R188" t="s">
        <v>1096</v>
      </c>
    </row>
    <row r="189" spans="1:18" ht="15.6">
      <c r="A189" s="1" t="s">
        <v>758</v>
      </c>
      <c r="B189" s="4">
        <v>45698</v>
      </c>
      <c r="C189" s="1" t="s">
        <v>537</v>
      </c>
      <c r="D189" s="1" t="s">
        <v>584</v>
      </c>
      <c r="E189" s="1">
        <v>80</v>
      </c>
      <c r="F189" s="2">
        <v>160298</v>
      </c>
      <c r="G189" s="2">
        <v>91264</v>
      </c>
      <c r="H189" s="1" t="s">
        <v>723</v>
      </c>
      <c r="I189" s="1" t="s">
        <v>533</v>
      </c>
      <c r="J189" s="2">
        <v>7749</v>
      </c>
      <c r="K189" s="1">
        <v>564</v>
      </c>
      <c r="L189" s="1" t="s">
        <v>522</v>
      </c>
      <c r="M189" s="2">
        <v>12823840</v>
      </c>
      <c r="N189" s="2">
        <v>7301120</v>
      </c>
      <c r="O189" s="2">
        <v>5514971</v>
      </c>
      <c r="P189" s="3">
        <v>0.4300561298331857</v>
      </c>
      <c r="Q189">
        <v>2</v>
      </c>
      <c r="R189" t="s">
        <v>1094</v>
      </c>
    </row>
    <row r="190" spans="1:18" ht="15.6">
      <c r="A190" s="1" t="s">
        <v>759</v>
      </c>
      <c r="B190" s="4">
        <v>45701</v>
      </c>
      <c r="C190" s="1" t="s">
        <v>589</v>
      </c>
      <c r="D190" s="1" t="s">
        <v>569</v>
      </c>
      <c r="E190" s="1">
        <v>9</v>
      </c>
      <c r="F190" s="2">
        <v>176213</v>
      </c>
      <c r="G190" s="2">
        <v>110273</v>
      </c>
      <c r="H190" s="1" t="s">
        <v>723</v>
      </c>
      <c r="I190" s="1" t="s">
        <v>521</v>
      </c>
      <c r="J190" s="2">
        <v>44585</v>
      </c>
      <c r="K190" s="1">
        <v>923</v>
      </c>
      <c r="L190" s="1" t="s">
        <v>522</v>
      </c>
      <c r="M190" s="2">
        <v>1585917</v>
      </c>
      <c r="N190" s="2">
        <v>992457</v>
      </c>
      <c r="O190" s="2">
        <v>548875</v>
      </c>
      <c r="P190" s="3">
        <v>0.34609314358822058</v>
      </c>
      <c r="Q190">
        <v>2</v>
      </c>
      <c r="R190" t="s">
        <v>1094</v>
      </c>
    </row>
    <row r="191" spans="1:18" ht="15.6">
      <c r="A191" s="1" t="s">
        <v>760</v>
      </c>
      <c r="B191" s="4">
        <v>45996</v>
      </c>
      <c r="C191" s="1" t="s">
        <v>694</v>
      </c>
      <c r="D191" s="1" t="s">
        <v>569</v>
      </c>
      <c r="E191" s="1">
        <v>20</v>
      </c>
      <c r="F191" s="2">
        <v>40662</v>
      </c>
      <c r="G191" s="2">
        <v>21219</v>
      </c>
      <c r="H191" s="1" t="s">
        <v>723</v>
      </c>
      <c r="I191" s="1" t="s">
        <v>560</v>
      </c>
      <c r="J191" s="2">
        <v>49144</v>
      </c>
      <c r="K191" s="1">
        <v>48</v>
      </c>
      <c r="L191" s="1" t="s">
        <v>522</v>
      </c>
      <c r="M191" s="2">
        <v>813240</v>
      </c>
      <c r="N191" s="2">
        <v>424380</v>
      </c>
      <c r="O191" s="2">
        <v>339716</v>
      </c>
      <c r="P191" s="3">
        <v>0.41773154296394666</v>
      </c>
      <c r="Q191">
        <v>12</v>
      </c>
      <c r="R191" t="s">
        <v>1102</v>
      </c>
    </row>
    <row r="192" spans="1:18" ht="15.6">
      <c r="A192" s="1" t="s">
        <v>761</v>
      </c>
      <c r="B192" s="4">
        <v>45687</v>
      </c>
      <c r="C192" s="1" t="s">
        <v>607</v>
      </c>
      <c r="D192" s="1" t="s">
        <v>586</v>
      </c>
      <c r="E192" s="1">
        <v>62</v>
      </c>
      <c r="F192" s="2">
        <v>9449</v>
      </c>
      <c r="G192" s="2">
        <v>6911</v>
      </c>
      <c r="H192" s="1" t="s">
        <v>723</v>
      </c>
      <c r="I192" s="1" t="s">
        <v>533</v>
      </c>
      <c r="J192" s="2">
        <v>62647</v>
      </c>
      <c r="K192" s="1">
        <v>49</v>
      </c>
      <c r="L192" s="1" t="s">
        <v>522</v>
      </c>
      <c r="M192" s="2">
        <v>585838</v>
      </c>
      <c r="N192" s="2">
        <v>428482</v>
      </c>
      <c r="O192" s="2">
        <v>94709</v>
      </c>
      <c r="P192" s="3">
        <v>0.16166414606085641</v>
      </c>
      <c r="Q192">
        <v>1</v>
      </c>
      <c r="R192" t="s">
        <v>1096</v>
      </c>
    </row>
    <row r="193" spans="1:18" ht="15.6">
      <c r="A193" s="1" t="s">
        <v>762</v>
      </c>
      <c r="B193" s="4">
        <v>45872</v>
      </c>
      <c r="C193" s="1" t="s">
        <v>671</v>
      </c>
      <c r="D193" s="1" t="s">
        <v>586</v>
      </c>
      <c r="E193" s="1">
        <v>73</v>
      </c>
      <c r="F193" s="2">
        <v>97919</v>
      </c>
      <c r="G193" s="2">
        <v>74267</v>
      </c>
      <c r="H193" s="1" t="s">
        <v>723</v>
      </c>
      <c r="I193" s="1" t="s">
        <v>544</v>
      </c>
      <c r="J193" s="2">
        <v>19321</v>
      </c>
      <c r="K193" s="1">
        <v>648</v>
      </c>
      <c r="L193" s="1" t="s">
        <v>522</v>
      </c>
      <c r="M193" s="2">
        <v>7148087</v>
      </c>
      <c r="N193" s="2">
        <v>5421491</v>
      </c>
      <c r="O193" s="2">
        <v>1707275</v>
      </c>
      <c r="P193" s="3">
        <v>0.23884362347576352</v>
      </c>
      <c r="Q193">
        <v>8</v>
      </c>
      <c r="R193" t="s">
        <v>1097</v>
      </c>
    </row>
    <row r="194" spans="1:18" ht="15.6">
      <c r="A194" s="1" t="s">
        <v>763</v>
      </c>
      <c r="B194" s="4">
        <v>45733</v>
      </c>
      <c r="C194" s="1" t="s">
        <v>577</v>
      </c>
      <c r="D194" s="1" t="s">
        <v>538</v>
      </c>
      <c r="E194" s="1">
        <v>6</v>
      </c>
      <c r="F194" s="2">
        <v>6102</v>
      </c>
      <c r="G194" s="2">
        <v>45561</v>
      </c>
      <c r="H194" s="1" t="s">
        <v>723</v>
      </c>
      <c r="I194" s="1" t="s">
        <v>544</v>
      </c>
      <c r="J194" s="2">
        <v>17605</v>
      </c>
      <c r="K194" s="1">
        <v>575</v>
      </c>
      <c r="L194" s="1" t="s">
        <v>522</v>
      </c>
      <c r="M194" s="2">
        <v>36612</v>
      </c>
      <c r="N194" s="2">
        <v>273366</v>
      </c>
      <c r="O194" s="2">
        <v>-254359</v>
      </c>
      <c r="P194" s="3">
        <v>-6.9474216104009612</v>
      </c>
      <c r="Q194">
        <v>3</v>
      </c>
      <c r="R194" t="s">
        <v>1104</v>
      </c>
    </row>
    <row r="195" spans="1:18" ht="15.6">
      <c r="A195" s="1" t="s">
        <v>764</v>
      </c>
      <c r="B195" s="4">
        <v>45995</v>
      </c>
      <c r="C195" s="1" t="s">
        <v>535</v>
      </c>
      <c r="D195" s="1" t="s">
        <v>584</v>
      </c>
      <c r="E195" s="1">
        <v>66</v>
      </c>
      <c r="F195" s="2">
        <v>122183</v>
      </c>
      <c r="G195" s="2">
        <v>79951</v>
      </c>
      <c r="H195" s="1" t="s">
        <v>723</v>
      </c>
      <c r="I195" s="1" t="s">
        <v>521</v>
      </c>
      <c r="J195" s="2">
        <v>45368</v>
      </c>
      <c r="K195" s="1">
        <v>562</v>
      </c>
      <c r="L195" s="1" t="s">
        <v>522</v>
      </c>
      <c r="M195" s="2">
        <v>8064078</v>
      </c>
      <c r="N195" s="2">
        <v>5276766</v>
      </c>
      <c r="O195" s="2">
        <v>2741944</v>
      </c>
      <c r="P195" s="3">
        <v>0.34001952858094875</v>
      </c>
      <c r="Q195">
        <v>12</v>
      </c>
      <c r="R195" t="s">
        <v>1102</v>
      </c>
    </row>
    <row r="196" spans="1:18" ht="15.6">
      <c r="A196" s="1" t="s">
        <v>765</v>
      </c>
      <c r="B196" s="4">
        <v>45733</v>
      </c>
      <c r="C196" s="1" t="s">
        <v>546</v>
      </c>
      <c r="D196" s="1" t="s">
        <v>543</v>
      </c>
      <c r="E196" s="1">
        <v>32</v>
      </c>
      <c r="F196" s="2">
        <v>177237</v>
      </c>
      <c r="G196" s="2">
        <v>115509</v>
      </c>
      <c r="H196" s="1" t="s">
        <v>723</v>
      </c>
      <c r="I196" s="1" t="s">
        <v>539</v>
      </c>
      <c r="J196" s="2">
        <v>29866</v>
      </c>
      <c r="K196" s="1">
        <v>765</v>
      </c>
      <c r="L196" s="1" t="s">
        <v>522</v>
      </c>
      <c r="M196" s="2">
        <v>5671584</v>
      </c>
      <c r="N196" s="2">
        <v>3696288</v>
      </c>
      <c r="O196" s="2">
        <v>1945430</v>
      </c>
      <c r="P196" s="3">
        <v>0.34301352144303954</v>
      </c>
      <c r="Q196">
        <v>3</v>
      </c>
      <c r="R196" t="s">
        <v>1104</v>
      </c>
    </row>
    <row r="197" spans="1:18" ht="15.6">
      <c r="A197" s="1" t="s">
        <v>766</v>
      </c>
      <c r="B197" s="4">
        <v>45804</v>
      </c>
      <c r="C197" s="1" t="s">
        <v>581</v>
      </c>
      <c r="D197" s="1" t="s">
        <v>584</v>
      </c>
      <c r="E197" s="1">
        <v>43</v>
      </c>
      <c r="F197" s="2">
        <v>6299</v>
      </c>
      <c r="G197" s="2">
        <v>39573</v>
      </c>
      <c r="H197" s="1" t="s">
        <v>723</v>
      </c>
      <c r="I197" s="1" t="s">
        <v>521</v>
      </c>
      <c r="J197" s="2">
        <v>18876</v>
      </c>
      <c r="K197" s="1">
        <v>797</v>
      </c>
      <c r="L197" s="1" t="s">
        <v>522</v>
      </c>
      <c r="M197" s="2">
        <v>270857</v>
      </c>
      <c r="N197" s="2">
        <v>1701639</v>
      </c>
      <c r="O197" s="2">
        <v>-1449658</v>
      </c>
      <c r="P197" s="3">
        <v>-5.3521156920441415</v>
      </c>
      <c r="Q197">
        <v>5</v>
      </c>
      <c r="R197" t="s">
        <v>1099</v>
      </c>
    </row>
    <row r="198" spans="1:18" ht="15.6">
      <c r="A198" s="1" t="s">
        <v>767</v>
      </c>
      <c r="B198" s="4">
        <v>45690</v>
      </c>
      <c r="C198" s="1" t="s">
        <v>577</v>
      </c>
      <c r="D198" s="1" t="s">
        <v>559</v>
      </c>
      <c r="E198" s="1">
        <v>43</v>
      </c>
      <c r="F198" s="2">
        <v>101329</v>
      </c>
      <c r="G198" s="2">
        <v>59501</v>
      </c>
      <c r="H198" s="1" t="s">
        <v>723</v>
      </c>
      <c r="I198" s="1" t="s">
        <v>539</v>
      </c>
      <c r="J198" s="2">
        <v>28369</v>
      </c>
      <c r="K198" s="1">
        <v>835</v>
      </c>
      <c r="L198" s="1" t="s">
        <v>522</v>
      </c>
      <c r="M198" s="2">
        <v>4357147</v>
      </c>
      <c r="N198" s="2">
        <v>2558543</v>
      </c>
      <c r="O198" s="2">
        <v>1770235</v>
      </c>
      <c r="P198" s="3">
        <v>0.4062830563210284</v>
      </c>
      <c r="Q198">
        <v>2</v>
      </c>
      <c r="R198" t="s">
        <v>1094</v>
      </c>
    </row>
    <row r="199" spans="1:18" ht="15.6">
      <c r="A199" s="1" t="s">
        <v>768</v>
      </c>
      <c r="B199" s="4">
        <v>45976</v>
      </c>
      <c r="C199" s="1" t="s">
        <v>537</v>
      </c>
      <c r="D199" s="1" t="s">
        <v>543</v>
      </c>
      <c r="E199" s="1">
        <v>51</v>
      </c>
      <c r="F199" s="2">
        <v>109806</v>
      </c>
      <c r="G199" s="2">
        <v>73437</v>
      </c>
      <c r="H199" s="1" t="s">
        <v>723</v>
      </c>
      <c r="I199" s="1" t="s">
        <v>539</v>
      </c>
      <c r="J199" s="2">
        <v>13142</v>
      </c>
      <c r="K199" s="1">
        <v>681</v>
      </c>
      <c r="L199" s="1" t="s">
        <v>522</v>
      </c>
      <c r="M199" s="2">
        <v>5600106</v>
      </c>
      <c r="N199" s="2">
        <v>3745287</v>
      </c>
      <c r="O199" s="2">
        <v>1841677</v>
      </c>
      <c r="P199" s="3">
        <v>0.32886466791878582</v>
      </c>
      <c r="Q199">
        <v>11</v>
      </c>
      <c r="R199" t="s">
        <v>1105</v>
      </c>
    </row>
    <row r="200" spans="1:18" ht="15.6">
      <c r="A200" s="1" t="s">
        <v>769</v>
      </c>
      <c r="B200" s="4">
        <v>45699</v>
      </c>
      <c r="C200" s="1" t="s">
        <v>549</v>
      </c>
      <c r="D200" s="1" t="s">
        <v>543</v>
      </c>
      <c r="E200" s="1">
        <v>70</v>
      </c>
      <c r="F200" s="2">
        <v>16959</v>
      </c>
      <c r="G200" s="2">
        <v>12959</v>
      </c>
      <c r="H200" s="1" t="s">
        <v>723</v>
      </c>
      <c r="I200" s="1" t="s">
        <v>533</v>
      </c>
      <c r="J200" s="2">
        <v>51874</v>
      </c>
      <c r="K200" s="1">
        <v>776</v>
      </c>
      <c r="L200" s="1" t="s">
        <v>522</v>
      </c>
      <c r="M200" s="2">
        <v>1187130</v>
      </c>
      <c r="N200" s="2">
        <v>907130</v>
      </c>
      <c r="O200" s="2">
        <v>228126</v>
      </c>
      <c r="P200" s="3">
        <v>0.19216598013696901</v>
      </c>
      <c r="Q200">
        <v>2</v>
      </c>
      <c r="R200" t="s">
        <v>1094</v>
      </c>
    </row>
    <row r="201" spans="1:18" ht="15.6">
      <c r="A201" s="1" t="s">
        <v>770</v>
      </c>
      <c r="B201" s="4">
        <v>45846</v>
      </c>
      <c r="C201" s="1" t="s">
        <v>571</v>
      </c>
      <c r="D201" s="1" t="s">
        <v>586</v>
      </c>
      <c r="E201" s="1">
        <v>78</v>
      </c>
      <c r="F201" s="2">
        <v>173762</v>
      </c>
      <c r="G201" s="2">
        <v>119385</v>
      </c>
      <c r="H201" s="1" t="s">
        <v>723</v>
      </c>
      <c r="I201" s="1" t="s">
        <v>544</v>
      </c>
      <c r="J201" s="2">
        <v>11486</v>
      </c>
      <c r="K201" s="1">
        <v>463</v>
      </c>
      <c r="L201" s="1" t="s">
        <v>522</v>
      </c>
      <c r="M201" s="2">
        <v>13553436</v>
      </c>
      <c r="N201" s="2">
        <v>9312030</v>
      </c>
      <c r="O201" s="2">
        <v>4229920</v>
      </c>
      <c r="P201" s="3">
        <v>0.31209207761043029</v>
      </c>
      <c r="Q201">
        <v>7</v>
      </c>
      <c r="R201" t="s">
        <v>1100</v>
      </c>
    </row>
    <row r="202" spans="1:18" ht="15.6">
      <c r="A202" s="1" t="s">
        <v>771</v>
      </c>
      <c r="B202" s="4">
        <v>45952</v>
      </c>
      <c r="C202" s="1" t="s">
        <v>671</v>
      </c>
      <c r="D202" s="1" t="s">
        <v>567</v>
      </c>
      <c r="E202" s="1">
        <v>49</v>
      </c>
      <c r="F202" s="2">
        <v>76225</v>
      </c>
      <c r="G202" s="2">
        <v>52287</v>
      </c>
      <c r="H202" s="1" t="s">
        <v>723</v>
      </c>
      <c r="I202" s="1" t="s">
        <v>560</v>
      </c>
      <c r="J202" s="2">
        <v>46437</v>
      </c>
      <c r="K202" s="1">
        <v>764</v>
      </c>
      <c r="L202" s="1" t="s">
        <v>522</v>
      </c>
      <c r="M202" s="2">
        <v>3735025</v>
      </c>
      <c r="N202" s="2">
        <v>2562063</v>
      </c>
      <c r="O202" s="2">
        <v>1126525</v>
      </c>
      <c r="P202" s="3">
        <v>0.30161110032730704</v>
      </c>
      <c r="Q202">
        <v>10</v>
      </c>
      <c r="R202" t="s">
        <v>1095</v>
      </c>
    </row>
    <row r="203" spans="1:18" ht="15.6">
      <c r="A203" s="1" t="s">
        <v>772</v>
      </c>
      <c r="B203" s="4">
        <v>45827</v>
      </c>
      <c r="C203" s="1" t="s">
        <v>600</v>
      </c>
      <c r="D203" s="1" t="s">
        <v>525</v>
      </c>
      <c r="E203" s="1">
        <v>59</v>
      </c>
      <c r="F203" s="2">
        <v>54598</v>
      </c>
      <c r="G203" s="2">
        <v>29099</v>
      </c>
      <c r="H203" s="1" t="s">
        <v>723</v>
      </c>
      <c r="I203" s="1" t="s">
        <v>521</v>
      </c>
      <c r="J203" s="2">
        <v>23933</v>
      </c>
      <c r="K203" s="1">
        <v>821</v>
      </c>
      <c r="L203" s="1" t="s">
        <v>522</v>
      </c>
      <c r="M203" s="2">
        <v>3221282</v>
      </c>
      <c r="N203" s="2">
        <v>1716841</v>
      </c>
      <c r="O203" s="2">
        <v>1480508</v>
      </c>
      <c r="P203" s="3">
        <v>0.45960210872565643</v>
      </c>
      <c r="Q203">
        <v>6</v>
      </c>
      <c r="R203" t="s">
        <v>1101</v>
      </c>
    </row>
    <row r="204" spans="1:18" ht="15.6">
      <c r="A204" s="1" t="s">
        <v>773</v>
      </c>
      <c r="B204" s="4">
        <v>45809</v>
      </c>
      <c r="C204" s="1" t="s">
        <v>581</v>
      </c>
      <c r="D204" s="1" t="s">
        <v>529</v>
      </c>
      <c r="E204" s="1">
        <v>23</v>
      </c>
      <c r="F204" s="2">
        <v>5999</v>
      </c>
      <c r="G204" s="2">
        <v>41012</v>
      </c>
      <c r="H204" s="1" t="s">
        <v>723</v>
      </c>
      <c r="I204" s="1" t="s">
        <v>544</v>
      </c>
      <c r="J204" s="2">
        <v>7731</v>
      </c>
      <c r="K204" s="1">
        <v>477</v>
      </c>
      <c r="L204" s="1" t="s">
        <v>522</v>
      </c>
      <c r="M204" s="2">
        <v>137977</v>
      </c>
      <c r="N204" s="2">
        <v>943276</v>
      </c>
      <c r="O204" s="2">
        <v>-813030</v>
      </c>
      <c r="P204" s="3">
        <v>-5.8925038231009514</v>
      </c>
      <c r="Q204">
        <v>6</v>
      </c>
      <c r="R204" t="s">
        <v>1101</v>
      </c>
    </row>
    <row r="205" spans="1:18" ht="15.6">
      <c r="A205" s="1" t="s">
        <v>774</v>
      </c>
      <c r="B205" s="4">
        <v>45787</v>
      </c>
      <c r="C205" s="1" t="s">
        <v>518</v>
      </c>
      <c r="D205" s="1" t="s">
        <v>569</v>
      </c>
      <c r="E205" s="1">
        <v>15</v>
      </c>
      <c r="F205" s="2">
        <v>149404</v>
      </c>
      <c r="H205" s="1" t="s">
        <v>723</v>
      </c>
      <c r="I205" s="1" t="s">
        <v>560</v>
      </c>
      <c r="J205" s="2">
        <v>42767</v>
      </c>
      <c r="K205" s="1">
        <v>477</v>
      </c>
      <c r="L205" s="1" t="s">
        <v>522</v>
      </c>
      <c r="M205" s="2">
        <v>2241060</v>
      </c>
      <c r="Q205">
        <v>5</v>
      </c>
      <c r="R205" t="s">
        <v>1099</v>
      </c>
    </row>
    <row r="206" spans="1:18" ht="15.6">
      <c r="A206" s="1" t="s">
        <v>775</v>
      </c>
      <c r="B206" s="4">
        <v>45725</v>
      </c>
      <c r="C206" s="1" t="s">
        <v>574</v>
      </c>
      <c r="D206" s="1" t="s">
        <v>584</v>
      </c>
      <c r="E206" s="1">
        <v>57</v>
      </c>
      <c r="F206" s="2">
        <v>159506</v>
      </c>
      <c r="G206" s="2">
        <v>97291</v>
      </c>
      <c r="H206" s="1" t="s">
        <v>723</v>
      </c>
      <c r="I206" s="1" t="s">
        <v>560</v>
      </c>
      <c r="J206" s="2">
        <v>52959</v>
      </c>
      <c r="K206" s="1">
        <v>805</v>
      </c>
      <c r="L206" s="1" t="s">
        <v>522</v>
      </c>
      <c r="M206" s="2">
        <v>9091842</v>
      </c>
      <c r="N206" s="2">
        <v>5545587</v>
      </c>
      <c r="O206" s="2">
        <v>3493296</v>
      </c>
      <c r="P206" s="3">
        <v>0.3842231310222945</v>
      </c>
      <c r="Q206">
        <v>3</v>
      </c>
      <c r="R206" t="s">
        <v>1104</v>
      </c>
    </row>
    <row r="207" spans="1:18" ht="15.6">
      <c r="A207" s="1" t="s">
        <v>776</v>
      </c>
      <c r="B207" s="4">
        <v>45940</v>
      </c>
      <c r="C207" s="1" t="s">
        <v>546</v>
      </c>
      <c r="D207" s="1" t="s">
        <v>532</v>
      </c>
      <c r="E207" s="1">
        <v>53</v>
      </c>
      <c r="F207" s="2">
        <v>24032</v>
      </c>
      <c r="G207" s="2">
        <v>18684</v>
      </c>
      <c r="H207" s="1" t="s">
        <v>723</v>
      </c>
      <c r="I207" s="1" t="s">
        <v>539</v>
      </c>
      <c r="J207" s="2">
        <v>61824</v>
      </c>
      <c r="K207" s="1">
        <v>774</v>
      </c>
      <c r="L207" s="1" t="s">
        <v>522</v>
      </c>
      <c r="M207" s="2">
        <v>1273696</v>
      </c>
      <c r="N207" s="2">
        <v>990252</v>
      </c>
      <c r="O207" s="2">
        <v>221620</v>
      </c>
      <c r="P207" s="3">
        <v>0.17399756299776398</v>
      </c>
      <c r="Q207">
        <v>10</v>
      </c>
      <c r="R207" t="s">
        <v>1095</v>
      </c>
    </row>
    <row r="208" spans="1:18" ht="15.6">
      <c r="A208" s="1" t="s">
        <v>777</v>
      </c>
      <c r="B208" s="4">
        <v>45755</v>
      </c>
      <c r="C208" s="1" t="s">
        <v>574</v>
      </c>
      <c r="D208" s="1" t="s">
        <v>586</v>
      </c>
      <c r="E208" s="1">
        <v>66</v>
      </c>
      <c r="F208" s="2">
        <v>136362</v>
      </c>
      <c r="G208" s="2">
        <v>67506</v>
      </c>
      <c r="H208" s="1" t="s">
        <v>723</v>
      </c>
      <c r="I208" s="1" t="s">
        <v>544</v>
      </c>
      <c r="J208" s="2">
        <v>51361</v>
      </c>
      <c r="K208" s="1">
        <v>877</v>
      </c>
      <c r="L208" s="1" t="s">
        <v>522</v>
      </c>
      <c r="M208" s="2">
        <v>8999892</v>
      </c>
      <c r="N208" s="2">
        <v>4455396</v>
      </c>
      <c r="O208" s="2">
        <v>4493135</v>
      </c>
      <c r="P208" s="3">
        <v>0.49924321314077991</v>
      </c>
      <c r="Q208">
        <v>4</v>
      </c>
      <c r="R208" t="s">
        <v>1098</v>
      </c>
    </row>
    <row r="209" spans="1:18" ht="15.6">
      <c r="A209" s="1" t="s">
        <v>778</v>
      </c>
      <c r="B209" s="4">
        <v>45911</v>
      </c>
      <c r="C209" s="1" t="s">
        <v>607</v>
      </c>
      <c r="D209" s="1" t="s">
        <v>538</v>
      </c>
      <c r="E209" s="1">
        <v>65</v>
      </c>
      <c r="F209" s="2">
        <v>174041</v>
      </c>
      <c r="G209" s="2">
        <v>97386</v>
      </c>
      <c r="H209" s="1" t="s">
        <v>723</v>
      </c>
      <c r="I209" s="1" t="s">
        <v>539</v>
      </c>
      <c r="J209" s="2">
        <v>10983</v>
      </c>
      <c r="K209" s="1">
        <v>905</v>
      </c>
      <c r="L209" s="1" t="s">
        <v>522</v>
      </c>
      <c r="M209" s="2">
        <v>11312665</v>
      </c>
      <c r="N209" s="2">
        <v>6330090</v>
      </c>
      <c r="O209" s="2">
        <v>4971592</v>
      </c>
      <c r="P209" s="3">
        <v>0.43947133588769755</v>
      </c>
      <c r="Q209">
        <v>9</v>
      </c>
      <c r="R209" t="s">
        <v>1103</v>
      </c>
    </row>
    <row r="210" spans="1:18" ht="15.6">
      <c r="A210" s="1" t="s">
        <v>779</v>
      </c>
      <c r="B210" s="4">
        <v>45885</v>
      </c>
      <c r="C210" s="1" t="s">
        <v>571</v>
      </c>
      <c r="D210" s="1" t="s">
        <v>525</v>
      </c>
      <c r="E210" s="1">
        <v>39</v>
      </c>
      <c r="F210" s="2">
        <v>163389</v>
      </c>
      <c r="G210" s="2">
        <v>76005</v>
      </c>
      <c r="H210" s="1" t="s">
        <v>723</v>
      </c>
      <c r="I210" s="1" t="s">
        <v>544</v>
      </c>
      <c r="J210" s="2">
        <v>26508</v>
      </c>
      <c r="K210" s="1">
        <v>665</v>
      </c>
      <c r="L210" s="1" t="s">
        <v>522</v>
      </c>
      <c r="M210" s="2">
        <v>6372171</v>
      </c>
      <c r="N210" s="2">
        <v>2964195</v>
      </c>
      <c r="O210" s="2">
        <v>3381468</v>
      </c>
      <c r="P210" s="3">
        <v>0.53066184193738686</v>
      </c>
      <c r="Q210">
        <v>8</v>
      </c>
      <c r="R210" t="s">
        <v>1097</v>
      </c>
    </row>
    <row r="211" spans="1:18" ht="15.6">
      <c r="A211" s="1" t="s">
        <v>780</v>
      </c>
      <c r="B211" s="4">
        <v>45983</v>
      </c>
      <c r="C211" s="1" t="s">
        <v>658</v>
      </c>
      <c r="D211" s="1" t="s">
        <v>569</v>
      </c>
      <c r="E211" s="1">
        <v>39</v>
      </c>
      <c r="F211" s="2">
        <v>119669</v>
      </c>
      <c r="G211" s="2">
        <v>58459</v>
      </c>
      <c r="H211" s="1" t="s">
        <v>723</v>
      </c>
      <c r="I211" s="1" t="s">
        <v>533</v>
      </c>
      <c r="J211" s="2">
        <v>23262</v>
      </c>
      <c r="K211" s="1">
        <v>696</v>
      </c>
      <c r="L211" s="1" t="s">
        <v>522</v>
      </c>
      <c r="M211" s="2">
        <v>4667091</v>
      </c>
      <c r="N211" s="2">
        <v>2279901</v>
      </c>
      <c r="O211" s="2">
        <v>2363928</v>
      </c>
      <c r="P211" s="3">
        <v>0.50650994377439817</v>
      </c>
      <c r="Q211">
        <v>11</v>
      </c>
      <c r="R211" t="s">
        <v>1105</v>
      </c>
    </row>
    <row r="212" spans="1:18" ht="15.6">
      <c r="A212" s="1" t="s">
        <v>781</v>
      </c>
      <c r="B212" s="4">
        <v>45890</v>
      </c>
      <c r="C212" s="1" t="s">
        <v>535</v>
      </c>
      <c r="D212" s="1" t="s">
        <v>556</v>
      </c>
      <c r="E212" s="1">
        <v>28</v>
      </c>
      <c r="F212" s="2">
        <v>118373</v>
      </c>
      <c r="G212" s="2">
        <v>76594</v>
      </c>
      <c r="H212" s="1" t="s">
        <v>723</v>
      </c>
      <c r="I212" s="1" t="s">
        <v>533</v>
      </c>
      <c r="J212" s="2">
        <v>52208</v>
      </c>
      <c r="K212" s="1">
        <v>572</v>
      </c>
      <c r="L212" s="1" t="s">
        <v>522</v>
      </c>
      <c r="M212" s="2">
        <v>3314444</v>
      </c>
      <c r="N212" s="2">
        <v>2144632</v>
      </c>
      <c r="O212" s="2">
        <v>1117604</v>
      </c>
      <c r="P212" s="3">
        <v>0.33719199962346624</v>
      </c>
      <c r="Q212">
        <v>8</v>
      </c>
      <c r="R212" t="s">
        <v>1097</v>
      </c>
    </row>
    <row r="213" spans="1:18" ht="15.6">
      <c r="A213" s="1" t="s">
        <v>782</v>
      </c>
      <c r="B213" s="4">
        <v>45659</v>
      </c>
      <c r="C213" s="1" t="s">
        <v>524</v>
      </c>
      <c r="D213" s="1" t="s">
        <v>553</v>
      </c>
      <c r="E213" s="1">
        <v>19</v>
      </c>
      <c r="F213" s="2">
        <v>177855</v>
      </c>
      <c r="G213" s="2">
        <v>111741</v>
      </c>
      <c r="H213" s="1" t="s">
        <v>723</v>
      </c>
      <c r="I213" s="1" t="s">
        <v>533</v>
      </c>
      <c r="J213" s="2">
        <v>44663</v>
      </c>
      <c r="K213" s="1">
        <v>463</v>
      </c>
      <c r="L213" s="1" t="s">
        <v>522</v>
      </c>
      <c r="M213" s="2">
        <v>3379245</v>
      </c>
      <c r="N213" s="2">
        <v>2123079</v>
      </c>
      <c r="O213" s="2">
        <v>1211503</v>
      </c>
      <c r="P213" s="3">
        <v>0.35851292226518056</v>
      </c>
      <c r="Q213">
        <v>1</v>
      </c>
      <c r="R213" t="s">
        <v>1096</v>
      </c>
    </row>
    <row r="214" spans="1:18" ht="15.6">
      <c r="A214" s="1" t="s">
        <v>783</v>
      </c>
      <c r="B214" s="4">
        <v>45998</v>
      </c>
      <c r="C214" s="1" t="s">
        <v>524</v>
      </c>
      <c r="D214" s="1" t="s">
        <v>529</v>
      </c>
      <c r="E214" s="1">
        <v>20</v>
      </c>
      <c r="F214" s="2">
        <v>126133</v>
      </c>
      <c r="G214" s="2">
        <v>76501</v>
      </c>
      <c r="H214" s="1" t="s">
        <v>723</v>
      </c>
      <c r="I214" s="1" t="s">
        <v>533</v>
      </c>
      <c r="J214" s="2">
        <v>10594</v>
      </c>
      <c r="K214" s="1">
        <v>498</v>
      </c>
      <c r="L214" s="1" t="s">
        <v>522</v>
      </c>
      <c r="M214" s="2">
        <v>2522660</v>
      </c>
      <c r="N214" s="2">
        <v>1530020</v>
      </c>
      <c r="O214" s="2">
        <v>982046</v>
      </c>
      <c r="P214" s="3">
        <v>0.38928987655887037</v>
      </c>
      <c r="Q214">
        <v>12</v>
      </c>
      <c r="R214" t="s">
        <v>1102</v>
      </c>
    </row>
    <row r="215" spans="1:18" ht="15.6">
      <c r="A215" s="1" t="s">
        <v>784</v>
      </c>
      <c r="B215" s="4">
        <v>45684</v>
      </c>
      <c r="C215" s="1" t="s">
        <v>636</v>
      </c>
      <c r="D215" s="1" t="s">
        <v>586</v>
      </c>
      <c r="E215" s="1">
        <v>40</v>
      </c>
      <c r="F215" s="2">
        <v>68483</v>
      </c>
      <c r="G215" s="2">
        <v>43878</v>
      </c>
      <c r="H215" s="1" t="s">
        <v>723</v>
      </c>
      <c r="I215" s="1" t="s">
        <v>521</v>
      </c>
      <c r="J215" s="2">
        <v>44404</v>
      </c>
      <c r="K215" s="1">
        <v>562</v>
      </c>
      <c r="L215" s="1" t="s">
        <v>522</v>
      </c>
      <c r="M215" s="2">
        <v>2739320</v>
      </c>
      <c r="N215" s="2">
        <v>1755120</v>
      </c>
      <c r="O215" s="2">
        <v>939796</v>
      </c>
      <c r="P215" s="3">
        <v>0.34307638392009698</v>
      </c>
      <c r="Q215">
        <v>1</v>
      </c>
      <c r="R215" t="s">
        <v>1096</v>
      </c>
    </row>
    <row r="216" spans="1:18" ht="15.6">
      <c r="A216" s="1" t="s">
        <v>785</v>
      </c>
      <c r="B216" s="4">
        <v>45914</v>
      </c>
      <c r="C216" s="1" t="s">
        <v>537</v>
      </c>
      <c r="D216" s="1" t="s">
        <v>553</v>
      </c>
      <c r="E216" s="1">
        <v>46</v>
      </c>
      <c r="F216" s="2">
        <v>20397</v>
      </c>
      <c r="G216" s="2">
        <v>14979</v>
      </c>
      <c r="H216" s="1" t="s">
        <v>723</v>
      </c>
      <c r="I216" s="1" t="s">
        <v>539</v>
      </c>
      <c r="J216" s="2">
        <v>6124</v>
      </c>
      <c r="K216" s="1">
        <v>911</v>
      </c>
      <c r="L216" s="1" t="s">
        <v>522</v>
      </c>
      <c r="M216" s="2">
        <v>938262</v>
      </c>
      <c r="N216" s="2">
        <v>689034</v>
      </c>
      <c r="O216" s="2">
        <v>243104</v>
      </c>
      <c r="P216" s="3">
        <v>0.25910033657976128</v>
      </c>
      <c r="Q216">
        <v>9</v>
      </c>
      <c r="R216" t="s">
        <v>1103</v>
      </c>
    </row>
    <row r="217" spans="1:18" ht="15.6">
      <c r="A217" s="1" t="s">
        <v>786</v>
      </c>
      <c r="B217" s="4">
        <v>45837</v>
      </c>
      <c r="C217" s="1" t="s">
        <v>589</v>
      </c>
      <c r="D217" s="1" t="s">
        <v>553</v>
      </c>
      <c r="E217" s="1">
        <v>19</v>
      </c>
      <c r="F217" s="2">
        <v>48638</v>
      </c>
      <c r="G217" s="2">
        <v>24238</v>
      </c>
      <c r="H217" s="1" t="s">
        <v>723</v>
      </c>
      <c r="I217" s="1" t="s">
        <v>521</v>
      </c>
      <c r="J217" s="2">
        <v>41144</v>
      </c>
      <c r="K217" s="1">
        <v>83</v>
      </c>
      <c r="L217" s="1" t="s">
        <v>522</v>
      </c>
      <c r="M217" s="2">
        <v>924122</v>
      </c>
      <c r="N217" s="2">
        <v>460522</v>
      </c>
      <c r="O217" s="2">
        <v>422456</v>
      </c>
      <c r="P217" s="3">
        <v>0.45714310448187578</v>
      </c>
      <c r="Q217">
        <v>6</v>
      </c>
      <c r="R217" t="s">
        <v>1101</v>
      </c>
    </row>
    <row r="218" spans="1:18" ht="15.6">
      <c r="A218" s="1" t="s">
        <v>787</v>
      </c>
      <c r="B218" s="4">
        <v>45822</v>
      </c>
      <c r="C218" s="1" t="s">
        <v>528</v>
      </c>
      <c r="D218" s="1" t="s">
        <v>569</v>
      </c>
      <c r="E218" s="1">
        <v>65</v>
      </c>
      <c r="F218" s="2">
        <v>33948</v>
      </c>
      <c r="G218" s="2">
        <v>1597</v>
      </c>
      <c r="H218" s="1" t="s">
        <v>723</v>
      </c>
      <c r="I218" s="1" t="s">
        <v>544</v>
      </c>
      <c r="J218" s="2">
        <v>63943</v>
      </c>
      <c r="K218" s="1">
        <v>492</v>
      </c>
      <c r="L218" s="1" t="s">
        <v>522</v>
      </c>
      <c r="M218" s="2">
        <v>2206620</v>
      </c>
      <c r="N218" s="2">
        <v>103805</v>
      </c>
      <c r="O218" s="2">
        <v>2038872</v>
      </c>
      <c r="P218" s="3">
        <v>0.92397966120129427</v>
      </c>
      <c r="Q218">
        <v>6</v>
      </c>
      <c r="R218" t="s">
        <v>1101</v>
      </c>
    </row>
    <row r="219" spans="1:18" ht="15.6">
      <c r="A219" s="1" t="s">
        <v>788</v>
      </c>
      <c r="B219" s="4">
        <v>45677</v>
      </c>
      <c r="C219" s="1" t="s">
        <v>671</v>
      </c>
      <c r="D219" s="1" t="s">
        <v>529</v>
      </c>
      <c r="E219" s="1">
        <v>80</v>
      </c>
      <c r="F219" s="2">
        <v>3054</v>
      </c>
      <c r="G219" s="2">
        <v>1754</v>
      </c>
      <c r="H219" s="1" t="s">
        <v>723</v>
      </c>
      <c r="I219" s="1" t="s">
        <v>521</v>
      </c>
      <c r="J219" s="2">
        <v>54881</v>
      </c>
      <c r="K219" s="1">
        <v>836</v>
      </c>
      <c r="L219" s="1" t="s">
        <v>522</v>
      </c>
      <c r="M219" s="2">
        <v>244320</v>
      </c>
      <c r="N219" s="2">
        <v>140320</v>
      </c>
      <c r="O219" s="2">
        <v>49119</v>
      </c>
      <c r="P219" s="3">
        <v>0.20104371316306482</v>
      </c>
      <c r="Q219">
        <v>1</v>
      </c>
      <c r="R219" t="s">
        <v>1096</v>
      </c>
    </row>
    <row r="220" spans="1:18" ht="15.6">
      <c r="A220" s="1" t="s">
        <v>789</v>
      </c>
      <c r="B220" s="4">
        <v>45894</v>
      </c>
      <c r="C220" s="1" t="s">
        <v>604</v>
      </c>
      <c r="D220" s="1" t="s">
        <v>584</v>
      </c>
      <c r="E220" s="1">
        <v>49</v>
      </c>
      <c r="F220" s="2">
        <v>9450</v>
      </c>
      <c r="G220" s="2">
        <v>55581</v>
      </c>
      <c r="H220" s="1" t="s">
        <v>723</v>
      </c>
      <c r="I220" s="1" t="s">
        <v>521</v>
      </c>
      <c r="J220" s="2">
        <v>53076</v>
      </c>
      <c r="K220" s="1">
        <v>519</v>
      </c>
      <c r="L220" s="1" t="s">
        <v>522</v>
      </c>
      <c r="M220" s="2">
        <v>463050</v>
      </c>
      <c r="N220" s="2">
        <v>2723469</v>
      </c>
      <c r="O220" s="2">
        <v>-2313495</v>
      </c>
      <c r="P220" s="3">
        <v>-4.9962099125364432</v>
      </c>
      <c r="Q220">
        <v>8</v>
      </c>
      <c r="R220" t="s">
        <v>1097</v>
      </c>
    </row>
    <row r="221" spans="1:18" ht="15.6">
      <c r="A221" s="1" t="s">
        <v>790</v>
      </c>
      <c r="B221" s="4">
        <v>45732</v>
      </c>
      <c r="C221" s="1" t="s">
        <v>558</v>
      </c>
      <c r="D221" s="1" t="s">
        <v>543</v>
      </c>
      <c r="E221" s="1">
        <v>37</v>
      </c>
      <c r="F221" s="2">
        <v>165792</v>
      </c>
      <c r="G221" s="2">
        <v>100455</v>
      </c>
      <c r="H221" s="1" t="s">
        <v>723</v>
      </c>
      <c r="I221" s="1" t="s">
        <v>539</v>
      </c>
      <c r="J221" s="2">
        <v>31916</v>
      </c>
      <c r="K221" s="1">
        <v>453</v>
      </c>
      <c r="L221" s="1" t="s">
        <v>522</v>
      </c>
      <c r="M221" s="2">
        <v>6134304</v>
      </c>
      <c r="N221" s="2">
        <v>3716835</v>
      </c>
      <c r="O221" s="2">
        <v>2385553</v>
      </c>
      <c r="P221" s="3">
        <v>0.38888731305132579</v>
      </c>
      <c r="Q221">
        <v>3</v>
      </c>
      <c r="R221" t="s">
        <v>1104</v>
      </c>
    </row>
    <row r="222" spans="1:18" ht="15.6">
      <c r="A222" s="1" t="s">
        <v>791</v>
      </c>
      <c r="B222" s="4">
        <v>46008</v>
      </c>
      <c r="C222" s="1" t="s">
        <v>566</v>
      </c>
      <c r="D222" s="1" t="s">
        <v>525</v>
      </c>
      <c r="E222" s="1">
        <v>62</v>
      </c>
      <c r="F222" s="2">
        <v>116659</v>
      </c>
      <c r="G222" s="2">
        <v>83737</v>
      </c>
      <c r="H222" s="1" t="s">
        <v>723</v>
      </c>
      <c r="I222" s="1" t="s">
        <v>539</v>
      </c>
      <c r="J222" s="2">
        <v>7219</v>
      </c>
      <c r="K222" s="1">
        <v>551</v>
      </c>
      <c r="L222" s="1" t="s">
        <v>522</v>
      </c>
      <c r="M222" s="2">
        <v>7232858</v>
      </c>
      <c r="N222" s="2">
        <v>5191694</v>
      </c>
      <c r="O222" s="2">
        <v>2033945</v>
      </c>
      <c r="P222" s="3">
        <v>0.2812090324460953</v>
      </c>
      <c r="Q222">
        <v>12</v>
      </c>
      <c r="R222" t="s">
        <v>1102</v>
      </c>
    </row>
    <row r="223" spans="1:18" ht="15.6">
      <c r="A223" s="1" t="s">
        <v>792</v>
      </c>
      <c r="B223" s="4">
        <v>45967</v>
      </c>
      <c r="C223" s="1" t="s">
        <v>558</v>
      </c>
      <c r="D223" s="1" t="s">
        <v>556</v>
      </c>
      <c r="E223" s="1">
        <v>58</v>
      </c>
      <c r="F223" s="2">
        <v>171198</v>
      </c>
      <c r="G223" s="2">
        <v>98056</v>
      </c>
      <c r="H223" s="1" t="s">
        <v>723</v>
      </c>
      <c r="I223" s="1" t="s">
        <v>560</v>
      </c>
      <c r="J223" s="2">
        <v>13262</v>
      </c>
      <c r="K223" s="1">
        <v>633</v>
      </c>
      <c r="L223" s="1" t="s">
        <v>522</v>
      </c>
      <c r="M223" s="2">
        <v>9929484</v>
      </c>
      <c r="N223" s="2">
        <v>5687248</v>
      </c>
      <c r="O223" s="2">
        <v>4228974</v>
      </c>
      <c r="P223" s="3">
        <v>0.42590068124385921</v>
      </c>
      <c r="Q223">
        <v>11</v>
      </c>
      <c r="R223" t="s">
        <v>1105</v>
      </c>
    </row>
    <row r="224" spans="1:18" ht="15.6">
      <c r="A224" s="1" t="s">
        <v>793</v>
      </c>
      <c r="B224" s="4">
        <v>45834</v>
      </c>
      <c r="C224" s="1" t="s">
        <v>551</v>
      </c>
      <c r="D224" s="1" t="s">
        <v>538</v>
      </c>
      <c r="E224" s="1">
        <v>48</v>
      </c>
      <c r="F224" s="2">
        <v>96577</v>
      </c>
      <c r="G224" s="2">
        <v>46844</v>
      </c>
      <c r="H224" s="1" t="s">
        <v>723</v>
      </c>
      <c r="I224" s="1" t="s">
        <v>539</v>
      </c>
      <c r="J224" s="2">
        <v>12351</v>
      </c>
      <c r="K224" s="1">
        <v>675</v>
      </c>
      <c r="L224" s="1" t="s">
        <v>522</v>
      </c>
      <c r="M224" s="2">
        <v>4635696</v>
      </c>
      <c r="N224" s="2">
        <v>2248512</v>
      </c>
      <c r="O224" s="2">
        <v>2374833</v>
      </c>
      <c r="P224" s="3">
        <v>0.51229265249490041</v>
      </c>
      <c r="Q224">
        <v>6</v>
      </c>
      <c r="R224" t="s">
        <v>1101</v>
      </c>
    </row>
    <row r="225" spans="1:18" ht="15.6">
      <c r="A225" s="1" t="s">
        <v>794</v>
      </c>
      <c r="B225" s="4">
        <v>45707</v>
      </c>
      <c r="C225" s="1" t="s">
        <v>607</v>
      </c>
      <c r="D225" s="1" t="s">
        <v>584</v>
      </c>
      <c r="E225" s="1">
        <v>50</v>
      </c>
      <c r="F225" s="2">
        <v>156636</v>
      </c>
      <c r="G225" s="2">
        <v>9210</v>
      </c>
      <c r="H225" s="1" t="s">
        <v>723</v>
      </c>
      <c r="I225" s="1" t="s">
        <v>544</v>
      </c>
      <c r="J225" s="2">
        <v>61025</v>
      </c>
      <c r="K225" s="1">
        <v>811</v>
      </c>
      <c r="L225" s="1" t="s">
        <v>522</v>
      </c>
      <c r="M225" s="2">
        <v>7831800</v>
      </c>
      <c r="N225" s="2">
        <v>460500</v>
      </c>
      <c r="O225" s="2">
        <v>7310275</v>
      </c>
      <c r="P225" s="3">
        <v>0.93340930565131897</v>
      </c>
      <c r="Q225">
        <v>2</v>
      </c>
      <c r="R225" t="s">
        <v>1094</v>
      </c>
    </row>
    <row r="226" spans="1:18" ht="15.6">
      <c r="A226" s="1" t="s">
        <v>795</v>
      </c>
      <c r="B226" s="4">
        <v>45739</v>
      </c>
      <c r="C226" s="1" t="s">
        <v>549</v>
      </c>
      <c r="D226" s="1" t="s">
        <v>532</v>
      </c>
      <c r="E226" s="1">
        <v>60</v>
      </c>
      <c r="F226" s="2">
        <v>93787</v>
      </c>
      <c r="G226" s="2">
        <v>51753</v>
      </c>
      <c r="H226" s="1" t="s">
        <v>723</v>
      </c>
      <c r="I226" s="1" t="s">
        <v>533</v>
      </c>
      <c r="J226" s="2">
        <v>61714</v>
      </c>
      <c r="K226" s="1">
        <v>703</v>
      </c>
      <c r="L226" s="1" t="s">
        <v>522</v>
      </c>
      <c r="M226" s="2">
        <v>5627220</v>
      </c>
      <c r="N226" s="2">
        <v>3105180</v>
      </c>
      <c r="O226" s="2">
        <v>2460326</v>
      </c>
      <c r="P226" s="3">
        <v>0.43721873322884125</v>
      </c>
      <c r="Q226">
        <v>3</v>
      </c>
      <c r="R226" t="s">
        <v>1104</v>
      </c>
    </row>
    <row r="227" spans="1:18" ht="15.6">
      <c r="A227" s="1" t="s">
        <v>796</v>
      </c>
      <c r="B227" s="4">
        <v>45991</v>
      </c>
      <c r="C227" s="1" t="s">
        <v>583</v>
      </c>
      <c r="D227" s="1" t="s">
        <v>519</v>
      </c>
      <c r="E227" s="1">
        <v>69</v>
      </c>
      <c r="F227" s="2">
        <v>135054</v>
      </c>
      <c r="G227" s="2">
        <v>98672</v>
      </c>
      <c r="H227" s="1" t="s">
        <v>723</v>
      </c>
      <c r="I227" s="1" t="s">
        <v>521</v>
      </c>
      <c r="J227" s="2">
        <v>30073</v>
      </c>
      <c r="K227" s="1">
        <v>869</v>
      </c>
      <c r="L227" s="1" t="s">
        <v>522</v>
      </c>
      <c r="M227" s="2">
        <v>9318726</v>
      </c>
      <c r="N227" s="2">
        <v>6808368</v>
      </c>
      <c r="O227" s="2">
        <v>2480285</v>
      </c>
      <c r="P227" s="3">
        <v>0.26616138300450082</v>
      </c>
      <c r="Q227">
        <v>11</v>
      </c>
      <c r="R227" t="s">
        <v>1105</v>
      </c>
    </row>
    <row r="228" spans="1:18" ht="15.6">
      <c r="A228" s="1" t="s">
        <v>797</v>
      </c>
      <c r="B228" s="4">
        <v>45829</v>
      </c>
      <c r="C228" s="1" t="s">
        <v>636</v>
      </c>
      <c r="D228" s="1" t="s">
        <v>569</v>
      </c>
      <c r="E228" s="1">
        <v>70</v>
      </c>
      <c r="F228" s="2">
        <v>98183</v>
      </c>
      <c r="G228" s="2">
        <v>72995</v>
      </c>
      <c r="H228" s="1" t="s">
        <v>723</v>
      </c>
      <c r="I228" s="1" t="s">
        <v>560</v>
      </c>
      <c r="J228" s="2">
        <v>33081</v>
      </c>
      <c r="K228" s="1">
        <v>546</v>
      </c>
      <c r="L228" s="1" t="s">
        <v>522</v>
      </c>
      <c r="M228" s="2">
        <v>6872810</v>
      </c>
      <c r="N228" s="2">
        <v>5109650</v>
      </c>
      <c r="O228" s="2">
        <v>1730079</v>
      </c>
      <c r="P228" s="3">
        <v>0.25172804136881421</v>
      </c>
      <c r="Q228">
        <v>6</v>
      </c>
      <c r="R228" t="s">
        <v>1101</v>
      </c>
    </row>
    <row r="229" spans="1:18" ht="15.6">
      <c r="A229" s="1" t="s">
        <v>798</v>
      </c>
      <c r="B229" s="4">
        <v>45827</v>
      </c>
      <c r="C229" s="1" t="s">
        <v>571</v>
      </c>
      <c r="D229" s="1" t="s">
        <v>525</v>
      </c>
      <c r="E229" s="1">
        <v>59</v>
      </c>
      <c r="F229" s="2">
        <v>119505</v>
      </c>
      <c r="G229" s="2">
        <v>82116</v>
      </c>
      <c r="H229" s="1" t="s">
        <v>723</v>
      </c>
      <c r="I229" s="1" t="s">
        <v>544</v>
      </c>
      <c r="J229" s="2">
        <v>52446</v>
      </c>
      <c r="K229" s="1">
        <v>734</v>
      </c>
      <c r="L229" s="1" t="s">
        <v>522</v>
      </c>
      <c r="M229" s="2">
        <v>7050795</v>
      </c>
      <c r="N229" s="2">
        <v>4844844</v>
      </c>
      <c r="O229" s="2">
        <v>2153505</v>
      </c>
      <c r="P229" s="3">
        <v>0.30542726033021811</v>
      </c>
      <c r="Q229">
        <v>6</v>
      </c>
      <c r="R229" t="s">
        <v>1101</v>
      </c>
    </row>
    <row r="230" spans="1:18" ht="15.6">
      <c r="A230" s="1" t="s">
        <v>799</v>
      </c>
      <c r="B230" s="4">
        <v>45747</v>
      </c>
      <c r="C230" s="1" t="s">
        <v>528</v>
      </c>
      <c r="D230" s="1" t="s">
        <v>553</v>
      </c>
      <c r="E230" s="1">
        <v>52</v>
      </c>
      <c r="F230" s="2">
        <v>150242</v>
      </c>
      <c r="G230" s="2">
        <v>93156</v>
      </c>
      <c r="H230" s="1" t="s">
        <v>723</v>
      </c>
      <c r="I230" s="1" t="s">
        <v>539</v>
      </c>
      <c r="J230" s="2">
        <v>45155</v>
      </c>
      <c r="K230" s="1">
        <v>542</v>
      </c>
      <c r="L230" s="1" t="s">
        <v>522</v>
      </c>
      <c r="M230" s="2">
        <v>7812584</v>
      </c>
      <c r="N230" s="2">
        <v>4844112</v>
      </c>
      <c r="O230" s="2">
        <v>2923317</v>
      </c>
      <c r="P230" s="3">
        <v>0.37418055281069618</v>
      </c>
      <c r="Q230">
        <v>3</v>
      </c>
      <c r="R230" t="s">
        <v>1104</v>
      </c>
    </row>
    <row r="231" spans="1:18" ht="15.6">
      <c r="A231" s="1" t="s">
        <v>800</v>
      </c>
      <c r="B231" s="4">
        <v>45894</v>
      </c>
      <c r="C231" s="1" t="s">
        <v>671</v>
      </c>
      <c r="D231" s="1" t="s">
        <v>563</v>
      </c>
      <c r="E231" s="1">
        <v>40</v>
      </c>
      <c r="F231" s="2">
        <v>132404</v>
      </c>
      <c r="G231" s="2">
        <v>76882</v>
      </c>
      <c r="H231" s="1" t="s">
        <v>723</v>
      </c>
      <c r="I231" s="1" t="s">
        <v>521</v>
      </c>
      <c r="J231" s="2">
        <v>39699</v>
      </c>
      <c r="K231" s="1">
        <v>473</v>
      </c>
      <c r="L231" s="1" t="s">
        <v>522</v>
      </c>
      <c r="M231" s="2">
        <v>5296160</v>
      </c>
      <c r="N231" s="2">
        <v>3075280</v>
      </c>
      <c r="O231" s="2">
        <v>2181181</v>
      </c>
      <c r="P231" s="3">
        <v>0.41184197607323042</v>
      </c>
      <c r="Q231">
        <v>8</v>
      </c>
      <c r="R231" t="s">
        <v>1097</v>
      </c>
    </row>
    <row r="232" spans="1:18" ht="15.6">
      <c r="A232" s="1" t="s">
        <v>801</v>
      </c>
      <c r="B232" s="4">
        <v>45669</v>
      </c>
      <c r="C232" s="1" t="s">
        <v>636</v>
      </c>
      <c r="D232" s="1" t="s">
        <v>569</v>
      </c>
      <c r="E232" s="1">
        <v>70</v>
      </c>
      <c r="F232" s="2">
        <v>8095</v>
      </c>
      <c r="G232" s="2">
        <v>46559</v>
      </c>
      <c r="H232" s="1" t="s">
        <v>723</v>
      </c>
      <c r="I232" s="1" t="s">
        <v>521</v>
      </c>
      <c r="J232" s="2">
        <v>32638</v>
      </c>
      <c r="K232" s="1">
        <v>528</v>
      </c>
      <c r="L232" s="1" t="s">
        <v>522</v>
      </c>
      <c r="M232" s="2">
        <v>566650</v>
      </c>
      <c r="N232" s="2">
        <v>3259130</v>
      </c>
      <c r="O232" s="2">
        <v>-2725118</v>
      </c>
      <c r="P232" s="3">
        <v>-4.8091732109767937</v>
      </c>
      <c r="Q232">
        <v>1</v>
      </c>
      <c r="R232" t="s">
        <v>1096</v>
      </c>
    </row>
    <row r="233" spans="1:18" ht="15.6">
      <c r="A233" s="1" t="s">
        <v>802</v>
      </c>
      <c r="B233" s="4">
        <v>45715</v>
      </c>
      <c r="C233" s="1" t="s">
        <v>607</v>
      </c>
      <c r="D233" s="1" t="s">
        <v>563</v>
      </c>
      <c r="E233" s="1">
        <v>54</v>
      </c>
      <c r="F233" s="2">
        <v>113767</v>
      </c>
      <c r="G233" s="2">
        <v>86344</v>
      </c>
      <c r="H233" s="1" t="s">
        <v>723</v>
      </c>
      <c r="I233" s="1" t="s">
        <v>521</v>
      </c>
      <c r="J233" s="2">
        <v>17365</v>
      </c>
      <c r="K233" s="1">
        <v>5</v>
      </c>
      <c r="L233" s="1" t="s">
        <v>522</v>
      </c>
      <c r="M233" s="2">
        <v>6143418</v>
      </c>
      <c r="N233" s="2">
        <v>4662576</v>
      </c>
      <c r="O233" s="2">
        <v>1463477</v>
      </c>
      <c r="P233" s="3">
        <v>0.23821869193989403</v>
      </c>
      <c r="Q233">
        <v>2</v>
      </c>
      <c r="R233" t="s">
        <v>1094</v>
      </c>
    </row>
    <row r="234" spans="1:18" ht="15.6">
      <c r="A234" s="1" t="s">
        <v>803</v>
      </c>
      <c r="B234" s="4">
        <v>45795</v>
      </c>
      <c r="C234" s="1" t="s">
        <v>558</v>
      </c>
      <c r="D234" s="1" t="s">
        <v>559</v>
      </c>
      <c r="E234" s="1">
        <v>20</v>
      </c>
      <c r="F234" s="2">
        <v>135221</v>
      </c>
      <c r="G234" s="2">
        <v>74981</v>
      </c>
      <c r="H234" s="1" t="s">
        <v>723</v>
      </c>
      <c r="I234" s="1" t="s">
        <v>533</v>
      </c>
      <c r="J234" s="2">
        <v>5312</v>
      </c>
      <c r="K234" s="1">
        <v>604</v>
      </c>
      <c r="L234" s="1" t="s">
        <v>522</v>
      </c>
      <c r="M234" s="2">
        <v>2704420</v>
      </c>
      <c r="N234" s="2">
        <v>1499620</v>
      </c>
      <c r="O234" s="2">
        <v>1199488</v>
      </c>
      <c r="P234" s="3">
        <v>0.44352874183743651</v>
      </c>
      <c r="Q234">
        <v>5</v>
      </c>
      <c r="R234" t="s">
        <v>1099</v>
      </c>
    </row>
    <row r="235" spans="1:18" ht="15.6">
      <c r="A235" s="1" t="s">
        <v>804</v>
      </c>
      <c r="B235" s="4">
        <v>45858</v>
      </c>
      <c r="C235" s="1" t="s">
        <v>566</v>
      </c>
      <c r="D235" s="1" t="s">
        <v>563</v>
      </c>
      <c r="E235" s="1">
        <v>76</v>
      </c>
      <c r="F235" s="2">
        <v>126755</v>
      </c>
      <c r="G235" s="2">
        <v>63345</v>
      </c>
      <c r="H235" s="1" t="s">
        <v>723</v>
      </c>
      <c r="I235" s="1" t="s">
        <v>539</v>
      </c>
      <c r="J235" s="2">
        <v>11273</v>
      </c>
      <c r="K235" s="1">
        <v>658</v>
      </c>
      <c r="L235" s="1" t="s">
        <v>522</v>
      </c>
      <c r="M235" s="2">
        <v>9633380</v>
      </c>
      <c r="N235" s="2">
        <v>4814220</v>
      </c>
      <c r="O235" s="2">
        <v>4807887</v>
      </c>
      <c r="P235" s="3">
        <v>0.49908619819834782</v>
      </c>
      <c r="Q235">
        <v>7</v>
      </c>
      <c r="R235" t="s">
        <v>1100</v>
      </c>
    </row>
    <row r="236" spans="1:18" ht="15.6">
      <c r="A236" s="1" t="s">
        <v>805</v>
      </c>
      <c r="B236" s="4">
        <v>46014</v>
      </c>
      <c r="C236" s="1" t="s">
        <v>566</v>
      </c>
      <c r="D236" s="1" t="s">
        <v>529</v>
      </c>
      <c r="E236" s="1">
        <v>9</v>
      </c>
      <c r="F236" s="2">
        <v>59645</v>
      </c>
      <c r="G236" s="2">
        <v>42787</v>
      </c>
      <c r="H236" s="1" t="s">
        <v>723</v>
      </c>
      <c r="I236" s="1" t="s">
        <v>533</v>
      </c>
      <c r="J236" s="2">
        <v>55951</v>
      </c>
      <c r="K236" s="1">
        <v>774</v>
      </c>
      <c r="L236" s="1" t="s">
        <v>522</v>
      </c>
      <c r="M236" s="2">
        <v>536805</v>
      </c>
      <c r="N236" s="2">
        <v>385083</v>
      </c>
      <c r="O236" s="2">
        <v>95771</v>
      </c>
      <c r="P236" s="3">
        <v>0.17840929201479122</v>
      </c>
      <c r="Q236">
        <v>12</v>
      </c>
      <c r="R236" t="s">
        <v>1102</v>
      </c>
    </row>
    <row r="237" spans="1:18" ht="15.6">
      <c r="A237" s="1" t="s">
        <v>806</v>
      </c>
      <c r="B237" s="4">
        <v>45985</v>
      </c>
      <c r="C237" s="1" t="s">
        <v>671</v>
      </c>
      <c r="D237" s="1" t="s">
        <v>559</v>
      </c>
      <c r="E237" s="1">
        <v>51</v>
      </c>
      <c r="F237" s="2">
        <v>13021</v>
      </c>
      <c r="G237" s="2">
        <v>8498</v>
      </c>
      <c r="H237" s="1" t="s">
        <v>723</v>
      </c>
      <c r="I237" s="1" t="s">
        <v>539</v>
      </c>
      <c r="J237" s="2">
        <v>40532</v>
      </c>
      <c r="K237" s="1">
        <v>644</v>
      </c>
      <c r="L237" s="1" t="s">
        <v>522</v>
      </c>
      <c r="M237" s="2">
        <v>664071</v>
      </c>
      <c r="N237" s="2">
        <v>433398</v>
      </c>
      <c r="O237" s="2">
        <v>190141</v>
      </c>
      <c r="P237" s="3">
        <v>0.28632631149380111</v>
      </c>
      <c r="Q237">
        <v>11</v>
      </c>
      <c r="R237" t="s">
        <v>1105</v>
      </c>
    </row>
    <row r="238" spans="1:18" ht="15.6">
      <c r="A238" s="1" t="s">
        <v>807</v>
      </c>
      <c r="B238" s="4">
        <v>45874</v>
      </c>
      <c r="C238" s="1" t="s">
        <v>571</v>
      </c>
      <c r="D238" s="1" t="s">
        <v>569</v>
      </c>
      <c r="E238" s="1">
        <v>69</v>
      </c>
      <c r="F238" s="2">
        <v>12727</v>
      </c>
      <c r="G238" s="2">
        <v>84372</v>
      </c>
      <c r="H238" s="1" t="s">
        <v>723</v>
      </c>
      <c r="I238" s="1" t="s">
        <v>560</v>
      </c>
      <c r="J238" s="2">
        <v>15012</v>
      </c>
      <c r="K238" s="1">
        <v>594</v>
      </c>
      <c r="L238" s="1" t="s">
        <v>522</v>
      </c>
      <c r="M238" s="2">
        <v>878163</v>
      </c>
      <c r="N238" s="2">
        <v>5821668</v>
      </c>
      <c r="O238" s="2">
        <v>-4958517</v>
      </c>
      <c r="P238" s="3">
        <v>-5.6464654056251513</v>
      </c>
      <c r="Q238">
        <v>8</v>
      </c>
      <c r="R238" t="s">
        <v>1097</v>
      </c>
    </row>
    <row r="239" spans="1:18" ht="15.6">
      <c r="A239" s="1" t="s">
        <v>808</v>
      </c>
      <c r="B239" s="4">
        <v>45937</v>
      </c>
      <c r="C239" s="1" t="s">
        <v>541</v>
      </c>
      <c r="D239" s="1" t="s">
        <v>559</v>
      </c>
      <c r="E239" s="1">
        <v>14</v>
      </c>
      <c r="F239" s="2">
        <v>13459</v>
      </c>
      <c r="G239" s="2">
        <v>89598</v>
      </c>
      <c r="H239" s="1" t="s">
        <v>723</v>
      </c>
      <c r="I239" s="1" t="s">
        <v>544</v>
      </c>
      <c r="J239" s="2">
        <v>57489</v>
      </c>
      <c r="K239" s="1">
        <v>466</v>
      </c>
      <c r="L239" s="1" t="s">
        <v>522</v>
      </c>
      <c r="M239" s="2">
        <v>188426</v>
      </c>
      <c r="N239" s="2">
        <v>1254372</v>
      </c>
      <c r="O239" s="2">
        <v>-1123435</v>
      </c>
      <c r="P239" s="3">
        <v>-5.9622079755447759</v>
      </c>
      <c r="Q239">
        <v>10</v>
      </c>
      <c r="R239" t="s">
        <v>1095</v>
      </c>
    </row>
    <row r="240" spans="1:18" ht="15.6">
      <c r="A240" s="1" t="s">
        <v>809</v>
      </c>
      <c r="B240" s="4">
        <v>45836</v>
      </c>
      <c r="C240" s="1" t="s">
        <v>518</v>
      </c>
      <c r="D240" s="1" t="s">
        <v>553</v>
      </c>
      <c r="E240" s="1">
        <v>12</v>
      </c>
      <c r="F240" s="2">
        <v>8352</v>
      </c>
      <c r="G240" s="2">
        <v>64979</v>
      </c>
      <c r="H240" s="1" t="s">
        <v>723</v>
      </c>
      <c r="I240" s="1" t="s">
        <v>521</v>
      </c>
      <c r="J240" s="2">
        <v>53642</v>
      </c>
      <c r="K240" s="1">
        <v>744</v>
      </c>
      <c r="L240" s="1" t="s">
        <v>522</v>
      </c>
      <c r="M240" s="2">
        <v>100224</v>
      </c>
      <c r="N240" s="2">
        <v>779748</v>
      </c>
      <c r="O240" s="2">
        <v>-733166</v>
      </c>
      <c r="P240" s="3">
        <v>-7.3152737867177526</v>
      </c>
      <c r="Q240">
        <v>6</v>
      </c>
      <c r="R240" t="s">
        <v>1101</v>
      </c>
    </row>
    <row r="241" spans="1:18" ht="15.6">
      <c r="A241" s="1" t="s">
        <v>810</v>
      </c>
      <c r="B241" s="4">
        <v>45877</v>
      </c>
      <c r="C241" s="1" t="s">
        <v>579</v>
      </c>
      <c r="D241" s="1" t="s">
        <v>547</v>
      </c>
      <c r="E241" s="1">
        <v>13</v>
      </c>
      <c r="F241" s="2">
        <v>8187</v>
      </c>
      <c r="G241" s="2">
        <v>4972</v>
      </c>
      <c r="H241" s="1" t="s">
        <v>723</v>
      </c>
      <c r="I241" s="1" t="s">
        <v>560</v>
      </c>
      <c r="J241" s="2">
        <v>18571</v>
      </c>
      <c r="K241" s="1">
        <v>79</v>
      </c>
      <c r="L241" s="1" t="s">
        <v>522</v>
      </c>
      <c r="M241" s="2">
        <v>106431</v>
      </c>
      <c r="N241" s="2">
        <v>64636</v>
      </c>
      <c r="O241" s="2">
        <v>23224</v>
      </c>
      <c r="P241" s="3">
        <v>0.21820710131446666</v>
      </c>
      <c r="Q241">
        <v>8</v>
      </c>
      <c r="R241" t="s">
        <v>1097</v>
      </c>
    </row>
    <row r="242" spans="1:18" ht="15.6">
      <c r="A242" s="1" t="s">
        <v>811</v>
      </c>
      <c r="B242" s="4">
        <v>45662</v>
      </c>
      <c r="C242" s="1" t="s">
        <v>694</v>
      </c>
      <c r="D242" s="1" t="s">
        <v>529</v>
      </c>
      <c r="E242" s="1">
        <v>16</v>
      </c>
      <c r="F242" s="2">
        <v>177963</v>
      </c>
      <c r="G242" s="2">
        <v>104885</v>
      </c>
      <c r="H242" s="1" t="s">
        <v>723</v>
      </c>
      <c r="I242" s="1" t="s">
        <v>539</v>
      </c>
      <c r="J242" s="2">
        <v>925</v>
      </c>
      <c r="K242" s="1">
        <v>642</v>
      </c>
      <c r="L242" s="1" t="s">
        <v>522</v>
      </c>
      <c r="M242" s="2">
        <v>2847408</v>
      </c>
      <c r="N242" s="2">
        <v>1678160</v>
      </c>
      <c r="O242" s="2">
        <v>1168323</v>
      </c>
      <c r="P242" s="3">
        <v>0.4103110618499351</v>
      </c>
      <c r="Q242">
        <v>1</v>
      </c>
      <c r="R242" t="s">
        <v>1096</v>
      </c>
    </row>
    <row r="243" spans="1:18" ht="15.6">
      <c r="A243" s="1" t="s">
        <v>812</v>
      </c>
      <c r="B243" s="4">
        <v>45990</v>
      </c>
      <c r="C243" s="1" t="s">
        <v>571</v>
      </c>
      <c r="D243" s="1" t="s">
        <v>569</v>
      </c>
      <c r="E243" s="1">
        <v>45</v>
      </c>
      <c r="F243" s="2">
        <v>132258</v>
      </c>
      <c r="G243" s="2">
        <v>86929</v>
      </c>
      <c r="H243" s="1" t="s">
        <v>723</v>
      </c>
      <c r="I243" s="1" t="s">
        <v>539</v>
      </c>
      <c r="J243" s="2">
        <v>41965</v>
      </c>
      <c r="K243" s="1">
        <v>671</v>
      </c>
      <c r="L243" s="1" t="s">
        <v>522</v>
      </c>
      <c r="M243" s="2">
        <v>5951610</v>
      </c>
      <c r="N243" s="2">
        <v>3911805</v>
      </c>
      <c r="O243" s="2">
        <v>1997840</v>
      </c>
      <c r="P243" s="3">
        <v>0.33568059735096889</v>
      </c>
      <c r="Q243">
        <v>11</v>
      </c>
      <c r="R243" t="s">
        <v>1105</v>
      </c>
    </row>
    <row r="244" spans="1:18" ht="15.6">
      <c r="A244" s="1" t="s">
        <v>813</v>
      </c>
      <c r="B244" s="4">
        <v>45856</v>
      </c>
      <c r="C244" s="1" t="s">
        <v>518</v>
      </c>
      <c r="D244" s="1" t="s">
        <v>553</v>
      </c>
      <c r="E244" s="1">
        <v>73</v>
      </c>
      <c r="F244" s="2">
        <v>80389</v>
      </c>
      <c r="G244" s="2">
        <v>50669</v>
      </c>
      <c r="H244" s="1" t="s">
        <v>723</v>
      </c>
      <c r="I244" s="1" t="s">
        <v>539</v>
      </c>
      <c r="J244" s="2">
        <v>62267</v>
      </c>
      <c r="K244" s="1">
        <v>835</v>
      </c>
      <c r="L244" s="1" t="s">
        <v>522</v>
      </c>
      <c r="M244" s="2">
        <v>5868397</v>
      </c>
      <c r="N244" s="2">
        <v>3698837</v>
      </c>
      <c r="O244" s="2">
        <v>2107293</v>
      </c>
      <c r="P244" s="3">
        <v>0.35909175878864363</v>
      </c>
      <c r="Q244">
        <v>7</v>
      </c>
      <c r="R244" t="s">
        <v>1100</v>
      </c>
    </row>
    <row r="245" spans="1:18" ht="15.6">
      <c r="A245" s="1" t="s">
        <v>814</v>
      </c>
      <c r="B245" s="4">
        <v>45874</v>
      </c>
      <c r="C245" s="1" t="s">
        <v>694</v>
      </c>
      <c r="D245" s="1" t="s">
        <v>559</v>
      </c>
      <c r="E245" s="1">
        <v>11</v>
      </c>
      <c r="F245" s="2">
        <v>118172</v>
      </c>
      <c r="G245" s="2">
        <v>74144</v>
      </c>
      <c r="H245" s="1" t="s">
        <v>723</v>
      </c>
      <c r="I245" s="1" t="s">
        <v>544</v>
      </c>
      <c r="J245" s="2">
        <v>10016</v>
      </c>
      <c r="K245" s="1">
        <v>49</v>
      </c>
      <c r="L245" s="1" t="s">
        <v>522</v>
      </c>
      <c r="M245" s="2">
        <v>1299892</v>
      </c>
      <c r="N245" s="2">
        <v>815584</v>
      </c>
      <c r="O245" s="2">
        <v>474292</v>
      </c>
      <c r="P245" s="3">
        <v>0.36487031230286826</v>
      </c>
      <c r="Q245">
        <v>8</v>
      </c>
      <c r="R245" t="s">
        <v>1097</v>
      </c>
    </row>
    <row r="246" spans="1:18" ht="15.6">
      <c r="A246" s="1" t="s">
        <v>815</v>
      </c>
      <c r="B246" s="4">
        <v>45687</v>
      </c>
      <c r="C246" s="1" t="s">
        <v>581</v>
      </c>
      <c r="D246" s="1" t="s">
        <v>547</v>
      </c>
      <c r="E246" s="1">
        <v>56</v>
      </c>
      <c r="F246" s="2">
        <v>2795</v>
      </c>
      <c r="G246" s="2">
        <v>18225</v>
      </c>
      <c r="H246" s="1" t="s">
        <v>723</v>
      </c>
      <c r="I246" s="1" t="s">
        <v>544</v>
      </c>
      <c r="J246" s="2">
        <v>44965</v>
      </c>
      <c r="K246" s="1">
        <v>779</v>
      </c>
      <c r="L246" s="1" t="s">
        <v>522</v>
      </c>
      <c r="M246" s="2">
        <v>156520</v>
      </c>
      <c r="N246" s="2">
        <v>1020600</v>
      </c>
      <c r="O246" s="2">
        <v>-909045</v>
      </c>
      <c r="P246" s="3">
        <v>-5.807852031689241</v>
      </c>
      <c r="Q246">
        <v>1</v>
      </c>
      <c r="R246" t="s">
        <v>1096</v>
      </c>
    </row>
    <row r="247" spans="1:18" ht="15.6">
      <c r="A247" s="1" t="s">
        <v>816</v>
      </c>
      <c r="B247" s="4">
        <v>45743</v>
      </c>
      <c r="C247" s="1" t="s">
        <v>600</v>
      </c>
      <c r="D247" s="1" t="s">
        <v>538</v>
      </c>
      <c r="E247" s="1">
        <v>35</v>
      </c>
      <c r="F247" s="2">
        <v>134065</v>
      </c>
      <c r="G247" s="2">
        <v>65552</v>
      </c>
      <c r="H247" s="1" t="s">
        <v>723</v>
      </c>
      <c r="I247" s="1" t="s">
        <v>544</v>
      </c>
      <c r="J247" s="2">
        <v>53426</v>
      </c>
      <c r="K247" s="1">
        <v>586</v>
      </c>
      <c r="L247" s="1" t="s">
        <v>522</v>
      </c>
      <c r="M247" s="2">
        <v>4692275</v>
      </c>
      <c r="N247" s="2">
        <v>2294320</v>
      </c>
      <c r="O247" s="2">
        <v>2344529</v>
      </c>
      <c r="P247" s="3">
        <v>0.49965720252968976</v>
      </c>
      <c r="Q247">
        <v>3</v>
      </c>
      <c r="R247" t="s">
        <v>1104</v>
      </c>
    </row>
    <row r="248" spans="1:18" ht="15.6">
      <c r="A248" s="1" t="s">
        <v>817</v>
      </c>
      <c r="B248" s="4">
        <v>45792</v>
      </c>
      <c r="C248" s="1" t="s">
        <v>694</v>
      </c>
      <c r="D248" s="1" t="s">
        <v>586</v>
      </c>
      <c r="E248" s="1">
        <v>10</v>
      </c>
      <c r="F248" s="2">
        <v>93337</v>
      </c>
      <c r="G248" s="2">
        <v>57734</v>
      </c>
      <c r="H248" s="1" t="s">
        <v>723</v>
      </c>
      <c r="I248" s="1" t="s">
        <v>539</v>
      </c>
      <c r="J248" s="2">
        <v>56562</v>
      </c>
      <c r="K248" s="1">
        <v>533</v>
      </c>
      <c r="L248" s="1" t="s">
        <v>522</v>
      </c>
      <c r="M248" s="2">
        <v>933370</v>
      </c>
      <c r="N248" s="2">
        <v>577340</v>
      </c>
      <c r="O248" s="2">
        <v>299468</v>
      </c>
      <c r="P248" s="3">
        <v>0.32084596676559135</v>
      </c>
      <c r="Q248">
        <v>5</v>
      </c>
      <c r="R248" t="s">
        <v>1099</v>
      </c>
    </row>
    <row r="249" spans="1:18" ht="15.6">
      <c r="A249" s="1" t="s">
        <v>818</v>
      </c>
      <c r="B249" s="4">
        <v>45772</v>
      </c>
      <c r="C249" s="1" t="s">
        <v>649</v>
      </c>
      <c r="D249" s="1" t="s">
        <v>519</v>
      </c>
      <c r="E249" s="1">
        <v>54</v>
      </c>
      <c r="F249" s="2">
        <v>165527</v>
      </c>
      <c r="H249" s="1" t="s">
        <v>723</v>
      </c>
      <c r="I249" s="1" t="s">
        <v>560</v>
      </c>
      <c r="J249" s="2">
        <v>27368</v>
      </c>
      <c r="K249" s="1">
        <v>701</v>
      </c>
      <c r="L249" s="1" t="s">
        <v>522</v>
      </c>
      <c r="M249" s="2">
        <v>8938458</v>
      </c>
      <c r="Q249">
        <v>4</v>
      </c>
      <c r="R249" t="s">
        <v>1098</v>
      </c>
    </row>
    <row r="250" spans="1:18" ht="15.6">
      <c r="A250" s="1" t="s">
        <v>819</v>
      </c>
      <c r="B250" s="4">
        <v>45749</v>
      </c>
      <c r="C250" s="1" t="s">
        <v>581</v>
      </c>
      <c r="D250" s="1" t="s">
        <v>563</v>
      </c>
      <c r="E250" s="1">
        <v>67</v>
      </c>
      <c r="F250" s="2">
        <v>176803</v>
      </c>
      <c r="G250" s="2">
        <v>135227</v>
      </c>
      <c r="H250" s="1" t="s">
        <v>723</v>
      </c>
      <c r="I250" s="1" t="s">
        <v>539</v>
      </c>
      <c r="J250" s="2">
        <v>56962</v>
      </c>
      <c r="K250" s="1">
        <v>837</v>
      </c>
      <c r="L250" s="1" t="s">
        <v>522</v>
      </c>
      <c r="M250" s="2">
        <v>11845801</v>
      </c>
      <c r="N250" s="2">
        <v>9060209</v>
      </c>
      <c r="O250" s="2">
        <v>2728630</v>
      </c>
      <c r="P250" s="3">
        <v>0.23034575711680452</v>
      </c>
      <c r="Q250">
        <v>4</v>
      </c>
      <c r="R250" t="s">
        <v>1098</v>
      </c>
    </row>
    <row r="251" spans="1:18" ht="15.6">
      <c r="A251" s="1" t="s">
        <v>820</v>
      </c>
      <c r="B251" s="4">
        <v>45960</v>
      </c>
      <c r="C251" s="1" t="s">
        <v>549</v>
      </c>
      <c r="D251" s="1" t="s">
        <v>563</v>
      </c>
      <c r="E251" s="1">
        <v>26</v>
      </c>
      <c r="F251" s="2">
        <v>133984</v>
      </c>
      <c r="G251" s="2">
        <v>84459</v>
      </c>
      <c r="H251" s="1" t="s">
        <v>723</v>
      </c>
      <c r="I251" s="1" t="s">
        <v>521</v>
      </c>
      <c r="J251" s="2">
        <v>5383</v>
      </c>
      <c r="K251" s="1">
        <v>655</v>
      </c>
      <c r="L251" s="1" t="s">
        <v>522</v>
      </c>
      <c r="M251" s="2">
        <v>3483584</v>
      </c>
      <c r="N251" s="2">
        <v>2195934</v>
      </c>
      <c r="O251" s="2">
        <v>1282267</v>
      </c>
      <c r="P251" s="3">
        <v>0.3680884399514982</v>
      </c>
      <c r="Q251">
        <v>10</v>
      </c>
      <c r="R251" t="s">
        <v>1095</v>
      </c>
    </row>
    <row r="252" spans="1:18" ht="15.6">
      <c r="A252" s="1" t="s">
        <v>821</v>
      </c>
      <c r="B252" s="4">
        <v>46016</v>
      </c>
      <c r="C252" s="1" t="s">
        <v>658</v>
      </c>
      <c r="D252" s="1" t="s">
        <v>525</v>
      </c>
      <c r="E252" s="1">
        <v>42</v>
      </c>
      <c r="F252" s="2">
        <v>62706</v>
      </c>
      <c r="G252" s="2">
        <v>33845</v>
      </c>
      <c r="H252" s="1" t="s">
        <v>723</v>
      </c>
      <c r="I252" s="1" t="s">
        <v>521</v>
      </c>
      <c r="J252" s="2">
        <v>13167</v>
      </c>
      <c r="K252" s="1">
        <v>835</v>
      </c>
      <c r="L252" s="1" t="s">
        <v>522</v>
      </c>
      <c r="M252" s="2">
        <v>2633652</v>
      </c>
      <c r="N252" s="2">
        <v>1421490</v>
      </c>
      <c r="O252" s="2">
        <v>1198995</v>
      </c>
      <c r="P252" s="3">
        <v>0.45525946480400598</v>
      </c>
      <c r="Q252">
        <v>12</v>
      </c>
      <c r="R252" t="s">
        <v>1102</v>
      </c>
    </row>
    <row r="253" spans="1:18" ht="15.6">
      <c r="A253" s="1" t="s">
        <v>822</v>
      </c>
      <c r="B253" s="4">
        <v>45733</v>
      </c>
      <c r="C253" s="1" t="s">
        <v>535</v>
      </c>
      <c r="D253" s="1" t="s">
        <v>525</v>
      </c>
      <c r="E253" s="1">
        <v>32</v>
      </c>
      <c r="F253" s="2">
        <v>174565</v>
      </c>
      <c r="G253" s="2">
        <v>10138</v>
      </c>
      <c r="H253" s="1" t="s">
        <v>723</v>
      </c>
      <c r="I253" s="1" t="s">
        <v>544</v>
      </c>
      <c r="J253" s="2">
        <v>2061</v>
      </c>
      <c r="K253" s="1">
        <v>945</v>
      </c>
      <c r="L253" s="1" t="s">
        <v>522</v>
      </c>
      <c r="M253" s="2">
        <v>5586080</v>
      </c>
      <c r="N253" s="2">
        <v>324416</v>
      </c>
      <c r="O253" s="2">
        <v>5259603</v>
      </c>
      <c r="P253" s="3">
        <v>0.94155525878612556</v>
      </c>
      <c r="Q253">
        <v>3</v>
      </c>
      <c r="R253" t="s">
        <v>1104</v>
      </c>
    </row>
    <row r="254" spans="1:18" ht="15.6">
      <c r="A254" s="1" t="s">
        <v>823</v>
      </c>
      <c r="B254" s="4">
        <v>45823</v>
      </c>
      <c r="C254" s="1" t="s">
        <v>607</v>
      </c>
      <c r="D254" s="1" t="s">
        <v>543</v>
      </c>
      <c r="E254" s="1">
        <v>19</v>
      </c>
      <c r="F254" s="2">
        <v>108897</v>
      </c>
      <c r="G254" s="2">
        <v>81965</v>
      </c>
      <c r="H254" s="1" t="s">
        <v>723</v>
      </c>
      <c r="I254" s="1" t="s">
        <v>560</v>
      </c>
      <c r="J254" s="2">
        <v>5664</v>
      </c>
      <c r="K254" s="1">
        <v>93</v>
      </c>
      <c r="L254" s="1" t="s">
        <v>522</v>
      </c>
      <c r="M254" s="2">
        <v>2069043</v>
      </c>
      <c r="N254" s="2">
        <v>1557335</v>
      </c>
      <c r="O254" s="2">
        <v>506044</v>
      </c>
      <c r="P254" s="3">
        <v>0.24457877385825233</v>
      </c>
      <c r="Q254">
        <v>6</v>
      </c>
      <c r="R254" t="s">
        <v>1101</v>
      </c>
    </row>
    <row r="255" spans="1:18" ht="15.6">
      <c r="A255" s="1" t="s">
        <v>824</v>
      </c>
      <c r="B255" s="4">
        <v>45674</v>
      </c>
      <c r="C255" s="1" t="s">
        <v>571</v>
      </c>
      <c r="D255" s="1" t="s">
        <v>586</v>
      </c>
      <c r="E255" s="1">
        <v>41</v>
      </c>
      <c r="F255" s="2">
        <v>166419</v>
      </c>
      <c r="G255" s="2">
        <v>128024</v>
      </c>
      <c r="H255" s="1" t="s">
        <v>723</v>
      </c>
      <c r="I255" s="1" t="s">
        <v>560</v>
      </c>
      <c r="J255" s="2">
        <v>11247</v>
      </c>
      <c r="K255" s="1">
        <v>698</v>
      </c>
      <c r="L255" s="1" t="s">
        <v>522</v>
      </c>
      <c r="M255" s="2">
        <v>6823179</v>
      </c>
      <c r="N255" s="2">
        <v>5248984</v>
      </c>
      <c r="O255" s="2">
        <v>1562948</v>
      </c>
      <c r="P255" s="3">
        <v>0.22906448738923602</v>
      </c>
      <c r="Q255">
        <v>1</v>
      </c>
      <c r="R255" t="s">
        <v>1096</v>
      </c>
    </row>
    <row r="256" spans="1:18" ht="15.6">
      <c r="A256" s="1" t="s">
        <v>825</v>
      </c>
      <c r="B256" s="4">
        <v>45697</v>
      </c>
      <c r="C256" s="1" t="s">
        <v>581</v>
      </c>
      <c r="D256" s="1" t="s">
        <v>529</v>
      </c>
      <c r="E256" s="1">
        <v>41</v>
      </c>
      <c r="F256" s="2">
        <v>36877</v>
      </c>
      <c r="G256" s="2">
        <v>27368</v>
      </c>
      <c r="H256" s="1" t="s">
        <v>723</v>
      </c>
      <c r="I256" s="1" t="s">
        <v>544</v>
      </c>
      <c r="J256" s="2">
        <v>31798</v>
      </c>
      <c r="K256" s="1">
        <v>583</v>
      </c>
      <c r="L256" s="1" t="s">
        <v>522</v>
      </c>
      <c r="M256" s="2">
        <v>1511957</v>
      </c>
      <c r="N256" s="2">
        <v>1122088</v>
      </c>
      <c r="O256" s="2">
        <v>358071</v>
      </c>
      <c r="P256" s="3">
        <v>0.23682617958050395</v>
      </c>
      <c r="Q256">
        <v>2</v>
      </c>
      <c r="R256" t="s">
        <v>1094</v>
      </c>
    </row>
    <row r="257" spans="1:18" ht="15.6">
      <c r="A257" s="1" t="s">
        <v>826</v>
      </c>
      <c r="B257" s="4">
        <v>46012</v>
      </c>
      <c r="C257" s="1" t="s">
        <v>535</v>
      </c>
      <c r="D257" s="1" t="s">
        <v>529</v>
      </c>
      <c r="E257" s="1">
        <v>33</v>
      </c>
      <c r="F257" s="2">
        <v>143367</v>
      </c>
      <c r="G257" s="2">
        <v>98599</v>
      </c>
      <c r="H257" s="1" t="s">
        <v>723</v>
      </c>
      <c r="I257" s="1" t="s">
        <v>539</v>
      </c>
      <c r="J257" s="2">
        <v>31293</v>
      </c>
      <c r="K257" s="1">
        <v>66</v>
      </c>
      <c r="L257" s="1" t="s">
        <v>522</v>
      </c>
      <c r="M257" s="2">
        <v>4731111</v>
      </c>
      <c r="N257" s="2">
        <v>3253767</v>
      </c>
      <c r="O257" s="2">
        <v>1446051</v>
      </c>
      <c r="P257" s="3">
        <v>0.30564723592407789</v>
      </c>
      <c r="Q257">
        <v>12</v>
      </c>
      <c r="R257" t="s">
        <v>1102</v>
      </c>
    </row>
    <row r="258" spans="1:18" ht="15.6">
      <c r="A258" s="1" t="s">
        <v>827</v>
      </c>
      <c r="B258" s="4">
        <v>45889</v>
      </c>
      <c r="C258" s="1" t="s">
        <v>535</v>
      </c>
      <c r="D258" s="1" t="s">
        <v>563</v>
      </c>
      <c r="E258" s="1">
        <v>5</v>
      </c>
      <c r="F258" s="2">
        <v>58724</v>
      </c>
      <c r="G258" s="2">
        <v>32602</v>
      </c>
      <c r="H258" s="1" t="s">
        <v>723</v>
      </c>
      <c r="I258" s="1" t="s">
        <v>533</v>
      </c>
      <c r="J258" s="2">
        <v>25508</v>
      </c>
      <c r="K258" s="1">
        <v>894</v>
      </c>
      <c r="L258" s="1" t="s">
        <v>522</v>
      </c>
      <c r="M258" s="2">
        <v>293620</v>
      </c>
      <c r="N258" s="2">
        <v>163010</v>
      </c>
      <c r="O258" s="2">
        <v>105102</v>
      </c>
      <c r="P258" s="3">
        <v>0.35795245555479871</v>
      </c>
      <c r="Q258">
        <v>8</v>
      </c>
      <c r="R258" t="s">
        <v>1097</v>
      </c>
    </row>
    <row r="259" spans="1:18" ht="15.6">
      <c r="A259" s="1" t="s">
        <v>828</v>
      </c>
      <c r="B259" s="4">
        <v>46016</v>
      </c>
      <c r="C259" s="1" t="s">
        <v>528</v>
      </c>
      <c r="D259" s="1" t="s">
        <v>586</v>
      </c>
      <c r="E259" s="1">
        <v>67</v>
      </c>
      <c r="F259" s="2">
        <v>14245</v>
      </c>
      <c r="G259" s="2">
        <v>69392</v>
      </c>
      <c r="H259" s="1" t="s">
        <v>723</v>
      </c>
      <c r="I259" s="1" t="s">
        <v>521</v>
      </c>
      <c r="J259" s="2">
        <v>38996</v>
      </c>
      <c r="K259" s="1">
        <v>741</v>
      </c>
      <c r="L259" s="1" t="s">
        <v>522</v>
      </c>
      <c r="M259" s="2">
        <v>954415</v>
      </c>
      <c r="N259" s="2">
        <v>4649264</v>
      </c>
      <c r="O259" s="2">
        <v>-3733845</v>
      </c>
      <c r="P259" s="3">
        <v>-3.9121818077041959</v>
      </c>
      <c r="Q259">
        <v>12</v>
      </c>
      <c r="R259" t="s">
        <v>1102</v>
      </c>
    </row>
    <row r="260" spans="1:18" ht="15.6">
      <c r="A260" s="1" t="s">
        <v>829</v>
      </c>
      <c r="B260" s="4">
        <v>46011</v>
      </c>
      <c r="C260" s="1" t="s">
        <v>581</v>
      </c>
      <c r="D260" s="1" t="s">
        <v>543</v>
      </c>
      <c r="E260" s="1">
        <v>61</v>
      </c>
      <c r="F260" s="2">
        <v>166384</v>
      </c>
      <c r="G260" s="2">
        <v>124126</v>
      </c>
      <c r="H260" s="1" t="s">
        <v>723</v>
      </c>
      <c r="I260" s="1" t="s">
        <v>544</v>
      </c>
      <c r="J260" s="2">
        <v>54043</v>
      </c>
      <c r="K260" s="1">
        <v>602</v>
      </c>
      <c r="L260" s="1" t="s">
        <v>522</v>
      </c>
      <c r="M260" s="2">
        <v>10149424</v>
      </c>
      <c r="N260" s="2">
        <v>7571686</v>
      </c>
      <c r="O260" s="2">
        <v>2523695</v>
      </c>
      <c r="P260" s="3">
        <v>0.24865401228680564</v>
      </c>
      <c r="Q260">
        <v>12</v>
      </c>
      <c r="R260" t="s">
        <v>1102</v>
      </c>
    </row>
    <row r="261" spans="1:18" ht="15.6">
      <c r="A261" s="1" t="s">
        <v>830</v>
      </c>
      <c r="B261" s="4">
        <v>45921</v>
      </c>
      <c r="C261" s="1" t="s">
        <v>595</v>
      </c>
      <c r="D261" s="1" t="s">
        <v>538</v>
      </c>
      <c r="E261" s="1">
        <v>9</v>
      </c>
      <c r="F261" s="2">
        <v>61513</v>
      </c>
      <c r="G261" s="2">
        <v>37968</v>
      </c>
      <c r="H261" s="1" t="s">
        <v>723</v>
      </c>
      <c r="I261" s="1" t="s">
        <v>560</v>
      </c>
      <c r="J261" s="2">
        <v>5776</v>
      </c>
      <c r="K261" s="1">
        <v>464</v>
      </c>
      <c r="L261" s="1" t="s">
        <v>522</v>
      </c>
      <c r="M261" s="2">
        <v>553617</v>
      </c>
      <c r="N261" s="2">
        <v>341712</v>
      </c>
      <c r="O261" s="2">
        <v>206129</v>
      </c>
      <c r="P261" s="3">
        <v>0.37233141323333641</v>
      </c>
      <c r="Q261">
        <v>9</v>
      </c>
      <c r="R261" t="s">
        <v>1103</v>
      </c>
    </row>
    <row r="262" spans="1:18" ht="15.6">
      <c r="A262" s="1" t="s">
        <v>831</v>
      </c>
      <c r="B262" s="4">
        <v>45687</v>
      </c>
      <c r="C262" s="1" t="s">
        <v>595</v>
      </c>
      <c r="D262" s="1" t="s">
        <v>553</v>
      </c>
      <c r="E262" s="1">
        <v>77</v>
      </c>
      <c r="F262" s="2">
        <v>77505</v>
      </c>
      <c r="G262" s="2">
        <v>43051</v>
      </c>
      <c r="H262" s="1" t="s">
        <v>723</v>
      </c>
      <c r="I262" s="1" t="s">
        <v>533</v>
      </c>
      <c r="J262" s="2">
        <v>44324</v>
      </c>
      <c r="K262" s="1">
        <v>949</v>
      </c>
      <c r="L262" s="1" t="s">
        <v>522</v>
      </c>
      <c r="M262" s="2">
        <v>5967885</v>
      </c>
      <c r="N262" s="2">
        <v>3314927</v>
      </c>
      <c r="O262" s="2">
        <v>2608634</v>
      </c>
      <c r="P262" s="3">
        <v>0.43711197518048689</v>
      </c>
      <c r="Q262">
        <v>1</v>
      </c>
      <c r="R262" t="s">
        <v>1096</v>
      </c>
    </row>
    <row r="263" spans="1:18" ht="15.6">
      <c r="A263" s="1" t="s">
        <v>832</v>
      </c>
      <c r="B263" s="4">
        <v>45754</v>
      </c>
      <c r="C263" s="1" t="s">
        <v>571</v>
      </c>
      <c r="D263" s="1" t="s">
        <v>567</v>
      </c>
      <c r="E263" s="1">
        <v>52</v>
      </c>
      <c r="F263" s="2">
        <v>11289</v>
      </c>
      <c r="G263" s="2">
        <v>5916</v>
      </c>
      <c r="H263" s="1" t="s">
        <v>723</v>
      </c>
      <c r="I263" s="1" t="s">
        <v>521</v>
      </c>
      <c r="J263" s="2">
        <v>49045</v>
      </c>
      <c r="K263" s="1">
        <v>745</v>
      </c>
      <c r="L263" s="1" t="s">
        <v>522</v>
      </c>
      <c r="M263" s="2">
        <v>587028</v>
      </c>
      <c r="N263" s="2">
        <v>307632</v>
      </c>
      <c r="O263" s="2">
        <v>230351</v>
      </c>
      <c r="P263" s="3">
        <v>0.39240206600025895</v>
      </c>
      <c r="Q263">
        <v>4</v>
      </c>
      <c r="R263" t="s">
        <v>1098</v>
      </c>
    </row>
    <row r="264" spans="1:18" ht="15.6">
      <c r="A264" s="1" t="s">
        <v>833</v>
      </c>
      <c r="B264" s="4">
        <v>46010</v>
      </c>
      <c r="C264" s="1" t="s">
        <v>574</v>
      </c>
      <c r="D264" s="1" t="s">
        <v>569</v>
      </c>
      <c r="E264" s="1">
        <v>43</v>
      </c>
      <c r="F264" s="2">
        <v>48335</v>
      </c>
      <c r="G264" s="2">
        <v>21954</v>
      </c>
      <c r="H264" s="1" t="s">
        <v>723</v>
      </c>
      <c r="I264" s="1" t="s">
        <v>533</v>
      </c>
      <c r="J264" s="2">
        <v>55114</v>
      </c>
      <c r="K264" s="1">
        <v>785</v>
      </c>
      <c r="L264" s="1" t="s">
        <v>522</v>
      </c>
      <c r="M264" s="2">
        <v>2078405</v>
      </c>
      <c r="N264" s="2">
        <v>944022</v>
      </c>
      <c r="O264" s="2">
        <v>1079269</v>
      </c>
      <c r="P264" s="3">
        <v>0.51927752290819162</v>
      </c>
      <c r="Q264">
        <v>12</v>
      </c>
      <c r="R264" t="s">
        <v>1102</v>
      </c>
    </row>
    <row r="265" spans="1:18" ht="15.6">
      <c r="A265" s="1" t="s">
        <v>834</v>
      </c>
      <c r="B265" s="4">
        <v>45898</v>
      </c>
      <c r="C265" s="1" t="s">
        <v>518</v>
      </c>
      <c r="D265" s="1" t="s">
        <v>569</v>
      </c>
      <c r="E265" s="1">
        <v>22</v>
      </c>
      <c r="F265" s="2">
        <v>20877</v>
      </c>
      <c r="G265" s="2">
        <v>12782</v>
      </c>
      <c r="H265" s="1" t="s">
        <v>723</v>
      </c>
      <c r="I265" s="1" t="s">
        <v>544</v>
      </c>
      <c r="J265" s="2">
        <v>63209</v>
      </c>
      <c r="K265" s="1">
        <v>475</v>
      </c>
      <c r="L265" s="1" t="s">
        <v>522</v>
      </c>
      <c r="M265" s="2">
        <v>459294</v>
      </c>
      <c r="N265" s="2">
        <v>281204</v>
      </c>
      <c r="O265" s="2">
        <v>114881</v>
      </c>
      <c r="P265" s="3">
        <v>0.25012519214272338</v>
      </c>
      <c r="Q265">
        <v>8</v>
      </c>
      <c r="R265" t="s">
        <v>1097</v>
      </c>
    </row>
    <row r="266" spans="1:18" ht="15.6">
      <c r="A266" s="1" t="s">
        <v>835</v>
      </c>
      <c r="B266" s="4">
        <v>45806</v>
      </c>
      <c r="C266" s="1" t="s">
        <v>671</v>
      </c>
      <c r="D266" s="1" t="s">
        <v>529</v>
      </c>
      <c r="E266" s="1">
        <v>17</v>
      </c>
      <c r="F266" s="2">
        <v>17679</v>
      </c>
      <c r="G266" s="2">
        <v>117482</v>
      </c>
      <c r="H266" s="1" t="s">
        <v>723</v>
      </c>
      <c r="I266" s="1" t="s">
        <v>560</v>
      </c>
      <c r="J266" s="2">
        <v>37549</v>
      </c>
      <c r="K266" s="1">
        <v>768</v>
      </c>
      <c r="L266" s="1" t="s">
        <v>522</v>
      </c>
      <c r="M266" s="2">
        <v>300543</v>
      </c>
      <c r="N266" s="2">
        <v>1997194</v>
      </c>
      <c r="O266" s="2">
        <v>-1734200</v>
      </c>
      <c r="P266" s="3">
        <v>-5.7702225638261417</v>
      </c>
      <c r="Q266">
        <v>5</v>
      </c>
      <c r="R266" t="s">
        <v>1099</v>
      </c>
    </row>
    <row r="267" spans="1:18" ht="15.6">
      <c r="A267" s="1" t="s">
        <v>836</v>
      </c>
      <c r="B267" s="4">
        <v>45925</v>
      </c>
      <c r="C267" s="1" t="s">
        <v>646</v>
      </c>
      <c r="D267" s="1" t="s">
        <v>543</v>
      </c>
      <c r="E267" s="1">
        <v>49</v>
      </c>
      <c r="F267" s="2">
        <v>32996</v>
      </c>
      <c r="G267" s="2">
        <v>22146</v>
      </c>
      <c r="H267" s="1" t="s">
        <v>723</v>
      </c>
      <c r="I267" s="1" t="s">
        <v>544</v>
      </c>
      <c r="J267" s="2">
        <v>50011</v>
      </c>
      <c r="K267" s="1">
        <v>53</v>
      </c>
      <c r="L267" s="1" t="s">
        <v>522</v>
      </c>
      <c r="M267" s="2">
        <v>1616804</v>
      </c>
      <c r="N267" s="2">
        <v>1085154</v>
      </c>
      <c r="O267" s="2">
        <v>481639</v>
      </c>
      <c r="P267" s="3">
        <v>0.29789572514664736</v>
      </c>
      <c r="Q267">
        <v>9</v>
      </c>
      <c r="R267" t="s">
        <v>1103</v>
      </c>
    </row>
    <row r="268" spans="1:18" ht="15.6">
      <c r="A268" s="1" t="s">
        <v>837</v>
      </c>
      <c r="B268" s="4">
        <v>46003</v>
      </c>
      <c r="C268" s="1" t="s">
        <v>589</v>
      </c>
      <c r="D268" s="1" t="s">
        <v>532</v>
      </c>
      <c r="E268" s="1">
        <v>29</v>
      </c>
      <c r="F268" s="2">
        <v>135695</v>
      </c>
      <c r="G268" s="2">
        <v>86196</v>
      </c>
      <c r="H268" s="1" t="s">
        <v>723</v>
      </c>
      <c r="I268" s="1" t="s">
        <v>560</v>
      </c>
      <c r="J268" s="2">
        <v>52058</v>
      </c>
      <c r="K268" s="1">
        <v>849</v>
      </c>
      <c r="L268" s="1" t="s">
        <v>522</v>
      </c>
      <c r="M268" s="2">
        <v>3935155</v>
      </c>
      <c r="N268" s="2">
        <v>2499684</v>
      </c>
      <c r="O268" s="2">
        <v>1383413</v>
      </c>
      <c r="P268" s="3">
        <v>0.3515523530839319</v>
      </c>
      <c r="Q268">
        <v>12</v>
      </c>
      <c r="R268" t="s">
        <v>1102</v>
      </c>
    </row>
    <row r="269" spans="1:18" ht="15.6">
      <c r="A269" s="1" t="s">
        <v>838</v>
      </c>
      <c r="B269" s="4">
        <v>45929</v>
      </c>
      <c r="C269" s="1" t="s">
        <v>549</v>
      </c>
      <c r="D269" s="1" t="s">
        <v>532</v>
      </c>
      <c r="E269" s="1">
        <v>2</v>
      </c>
      <c r="F269" s="2">
        <v>27732</v>
      </c>
      <c r="G269" s="2">
        <v>15646</v>
      </c>
      <c r="H269" s="1" t="s">
        <v>723</v>
      </c>
      <c r="I269" s="1" t="s">
        <v>560</v>
      </c>
      <c r="J269" s="2">
        <v>60116</v>
      </c>
      <c r="K269" s="1">
        <v>572</v>
      </c>
      <c r="L269" s="1" t="s">
        <v>522</v>
      </c>
      <c r="M269" s="2">
        <v>55464</v>
      </c>
      <c r="N269" s="2">
        <v>31292</v>
      </c>
      <c r="O269" s="2">
        <v>-35944</v>
      </c>
      <c r="P269" s="3">
        <v>-0.64806000288475407</v>
      </c>
      <c r="Q269">
        <v>9</v>
      </c>
      <c r="R269" t="s">
        <v>1103</v>
      </c>
    </row>
    <row r="270" spans="1:18" ht="15.6">
      <c r="A270" s="1" t="s">
        <v>839</v>
      </c>
      <c r="B270" s="4">
        <v>45853</v>
      </c>
      <c r="C270" s="1" t="s">
        <v>551</v>
      </c>
      <c r="D270" s="1" t="s">
        <v>553</v>
      </c>
      <c r="E270" s="1">
        <v>4</v>
      </c>
      <c r="F270" s="2">
        <v>89526</v>
      </c>
      <c r="G270" s="2">
        <v>56047</v>
      </c>
      <c r="H270" s="1" t="s">
        <v>723</v>
      </c>
      <c r="I270" s="1" t="s">
        <v>539</v>
      </c>
      <c r="J270" s="2">
        <v>52806</v>
      </c>
      <c r="K270" s="1">
        <v>875</v>
      </c>
      <c r="L270" s="1" t="s">
        <v>522</v>
      </c>
      <c r="M270" s="2">
        <v>358104</v>
      </c>
      <c r="N270" s="2">
        <v>224188</v>
      </c>
      <c r="O270" s="2">
        <v>81110</v>
      </c>
      <c r="P270" s="3">
        <v>0.22649844737841521</v>
      </c>
      <c r="Q270">
        <v>7</v>
      </c>
      <c r="R270" t="s">
        <v>1100</v>
      </c>
    </row>
    <row r="271" spans="1:18" ht="15.6">
      <c r="A271" s="1" t="s">
        <v>840</v>
      </c>
      <c r="B271" s="4">
        <v>45730</v>
      </c>
      <c r="C271" s="1" t="s">
        <v>571</v>
      </c>
      <c r="D271" s="1" t="s">
        <v>538</v>
      </c>
      <c r="E271" s="1">
        <v>29</v>
      </c>
      <c r="F271" s="2">
        <v>114104</v>
      </c>
      <c r="G271" s="2">
        <v>60864</v>
      </c>
      <c r="H271" s="1" t="s">
        <v>723</v>
      </c>
      <c r="I271" s="1" t="s">
        <v>521</v>
      </c>
      <c r="J271" s="2">
        <v>45259</v>
      </c>
      <c r="K271" s="1">
        <v>734</v>
      </c>
      <c r="L271" s="1" t="s">
        <v>522</v>
      </c>
      <c r="M271" s="2">
        <v>3309016</v>
      </c>
      <c r="N271" s="2">
        <v>1765056</v>
      </c>
      <c r="O271" s="2">
        <v>1498701</v>
      </c>
      <c r="P271" s="3">
        <v>0.45291440113919063</v>
      </c>
      <c r="Q271">
        <v>3</v>
      </c>
      <c r="R271" t="s">
        <v>1104</v>
      </c>
    </row>
    <row r="272" spans="1:18" ht="15.6">
      <c r="A272" s="1" t="s">
        <v>841</v>
      </c>
      <c r="B272" s="4">
        <v>45840</v>
      </c>
      <c r="C272" s="1" t="s">
        <v>558</v>
      </c>
      <c r="D272" s="1" t="s">
        <v>556</v>
      </c>
      <c r="E272" s="1">
        <v>31</v>
      </c>
      <c r="F272" s="2">
        <v>25208</v>
      </c>
      <c r="G272" s="2">
        <v>16497</v>
      </c>
      <c r="H272" s="1" t="s">
        <v>723</v>
      </c>
      <c r="I272" s="1" t="s">
        <v>544</v>
      </c>
      <c r="J272" s="2">
        <v>34152</v>
      </c>
      <c r="K272" s="1">
        <v>614</v>
      </c>
      <c r="L272" s="1" t="s">
        <v>522</v>
      </c>
      <c r="M272" s="2">
        <v>781448</v>
      </c>
      <c r="N272" s="2">
        <v>511407</v>
      </c>
      <c r="O272" s="2">
        <v>235889</v>
      </c>
      <c r="P272" s="3">
        <v>0.30186141624266744</v>
      </c>
      <c r="Q272">
        <v>7</v>
      </c>
      <c r="R272" t="s">
        <v>1100</v>
      </c>
    </row>
    <row r="273" spans="1:18" ht="15.6">
      <c r="A273" s="1" t="s">
        <v>842</v>
      </c>
      <c r="B273" s="4">
        <v>45841</v>
      </c>
      <c r="C273" s="1" t="s">
        <v>607</v>
      </c>
      <c r="D273" s="1" t="s">
        <v>519</v>
      </c>
      <c r="E273" s="1">
        <v>63</v>
      </c>
      <c r="F273" s="2">
        <v>47861</v>
      </c>
      <c r="G273" s="2">
        <v>25713</v>
      </c>
      <c r="H273" s="1" t="s">
        <v>723</v>
      </c>
      <c r="I273" s="1" t="s">
        <v>533</v>
      </c>
      <c r="J273" s="2">
        <v>45115</v>
      </c>
      <c r="K273" s="1">
        <v>709</v>
      </c>
      <c r="L273" s="1" t="s">
        <v>522</v>
      </c>
      <c r="M273" s="2">
        <v>3015243</v>
      </c>
      <c r="N273" s="2">
        <v>1619919</v>
      </c>
      <c r="O273" s="2">
        <v>1350209</v>
      </c>
      <c r="P273" s="3">
        <v>0.44779442320237539</v>
      </c>
      <c r="Q273">
        <v>7</v>
      </c>
      <c r="R273" t="s">
        <v>1100</v>
      </c>
    </row>
    <row r="274" spans="1:18" ht="15.6">
      <c r="A274" s="1" t="s">
        <v>843</v>
      </c>
      <c r="B274" s="4">
        <v>45947</v>
      </c>
      <c r="C274" s="1" t="s">
        <v>600</v>
      </c>
      <c r="D274" s="1" t="s">
        <v>586</v>
      </c>
      <c r="E274" s="1">
        <v>36</v>
      </c>
      <c r="F274" s="2">
        <v>178589</v>
      </c>
      <c r="G274" s="2">
        <v>103789</v>
      </c>
      <c r="H274" s="1" t="s">
        <v>723</v>
      </c>
      <c r="I274" s="1" t="s">
        <v>539</v>
      </c>
      <c r="J274" s="2">
        <v>38126</v>
      </c>
      <c r="K274" s="1">
        <v>729</v>
      </c>
      <c r="L274" s="1" t="s">
        <v>522</v>
      </c>
      <c r="M274" s="2">
        <v>6429204</v>
      </c>
      <c r="N274" s="2">
        <v>3736404</v>
      </c>
      <c r="O274" s="2">
        <v>2654674</v>
      </c>
      <c r="P274" s="3">
        <v>0.4129086586768751</v>
      </c>
      <c r="Q274">
        <v>10</v>
      </c>
      <c r="R274" t="s">
        <v>1095</v>
      </c>
    </row>
    <row r="275" spans="1:18" ht="15.6">
      <c r="A275" s="1" t="s">
        <v>844</v>
      </c>
      <c r="B275" s="4">
        <v>45799</v>
      </c>
      <c r="C275" s="1" t="s">
        <v>604</v>
      </c>
      <c r="D275" s="1" t="s">
        <v>559</v>
      </c>
      <c r="E275" s="1">
        <v>46</v>
      </c>
      <c r="F275" s="2">
        <v>123182</v>
      </c>
      <c r="G275" s="2">
        <v>71914</v>
      </c>
      <c r="H275" s="1" t="s">
        <v>723</v>
      </c>
      <c r="I275" s="1" t="s">
        <v>560</v>
      </c>
      <c r="J275" s="2">
        <v>5922</v>
      </c>
      <c r="K275" s="1">
        <v>802</v>
      </c>
      <c r="L275" s="1" t="s">
        <v>522</v>
      </c>
      <c r="M275" s="2">
        <v>5666372</v>
      </c>
      <c r="N275" s="2">
        <v>3308044</v>
      </c>
      <c r="O275" s="2">
        <v>2352406</v>
      </c>
      <c r="P275" s="3">
        <v>0.41515205849527703</v>
      </c>
      <c r="Q275">
        <v>5</v>
      </c>
      <c r="R275" t="s">
        <v>1099</v>
      </c>
    </row>
    <row r="276" spans="1:18" ht="15.6">
      <c r="A276" s="1" t="s">
        <v>845</v>
      </c>
      <c r="B276" s="4">
        <v>45950</v>
      </c>
      <c r="C276" s="1" t="s">
        <v>558</v>
      </c>
      <c r="D276" s="1" t="s">
        <v>586</v>
      </c>
      <c r="E276" s="1">
        <v>30</v>
      </c>
      <c r="F276" s="2">
        <v>148041</v>
      </c>
      <c r="G276" s="2">
        <v>101833</v>
      </c>
      <c r="H276" s="1" t="s">
        <v>723</v>
      </c>
      <c r="I276" s="1" t="s">
        <v>560</v>
      </c>
      <c r="J276" s="2">
        <v>30933</v>
      </c>
      <c r="K276" s="1">
        <v>64</v>
      </c>
      <c r="L276" s="1" t="s">
        <v>522</v>
      </c>
      <c r="M276" s="2">
        <v>4441230</v>
      </c>
      <c r="N276" s="2">
        <v>3054990</v>
      </c>
      <c r="O276" s="2">
        <v>1355307</v>
      </c>
      <c r="P276" s="3">
        <v>0.30516478543106301</v>
      </c>
      <c r="Q276">
        <v>10</v>
      </c>
      <c r="R276" t="s">
        <v>1095</v>
      </c>
    </row>
    <row r="277" spans="1:18" ht="15.6">
      <c r="A277" s="1" t="s">
        <v>846</v>
      </c>
      <c r="B277" s="4">
        <v>45811</v>
      </c>
      <c r="C277" s="1" t="s">
        <v>524</v>
      </c>
      <c r="D277" s="1" t="s">
        <v>532</v>
      </c>
      <c r="E277" s="1">
        <v>73</v>
      </c>
      <c r="F277" s="2">
        <v>16206</v>
      </c>
      <c r="G277" s="2">
        <v>7822</v>
      </c>
      <c r="H277" s="1" t="s">
        <v>723</v>
      </c>
      <c r="I277" s="1" t="s">
        <v>533</v>
      </c>
      <c r="J277" s="2">
        <v>17928</v>
      </c>
      <c r="K277" s="1">
        <v>577</v>
      </c>
      <c r="L277" s="1" t="s">
        <v>522</v>
      </c>
      <c r="M277" s="2">
        <v>1183038</v>
      </c>
      <c r="N277" s="2">
        <v>571006</v>
      </c>
      <c r="O277" s="2">
        <v>594104</v>
      </c>
      <c r="P277" s="3">
        <v>0.50218505238208744</v>
      </c>
      <c r="Q277">
        <v>6</v>
      </c>
      <c r="R277" t="s">
        <v>1101</v>
      </c>
    </row>
    <row r="278" spans="1:18" ht="15.6">
      <c r="A278" s="1" t="s">
        <v>847</v>
      </c>
      <c r="B278" s="4">
        <v>45843</v>
      </c>
      <c r="C278" s="1" t="s">
        <v>589</v>
      </c>
      <c r="D278" s="1" t="s">
        <v>586</v>
      </c>
      <c r="E278" s="1">
        <v>67</v>
      </c>
      <c r="F278" s="2">
        <v>17407</v>
      </c>
      <c r="G278" s="2">
        <v>102112</v>
      </c>
      <c r="H278" s="1" t="s">
        <v>723</v>
      </c>
      <c r="I278" s="1" t="s">
        <v>533</v>
      </c>
      <c r="J278" s="2">
        <v>12502</v>
      </c>
      <c r="K278" s="1">
        <v>567</v>
      </c>
      <c r="L278" s="1" t="s">
        <v>522</v>
      </c>
      <c r="M278" s="2">
        <v>1166269</v>
      </c>
      <c r="N278" s="2">
        <v>6841504</v>
      </c>
      <c r="O278" s="2">
        <v>-5687737</v>
      </c>
      <c r="P278" s="3">
        <v>-4.876865457283011</v>
      </c>
      <c r="Q278">
        <v>7</v>
      </c>
      <c r="R278" t="s">
        <v>1100</v>
      </c>
    </row>
    <row r="279" spans="1:18" ht="15.6">
      <c r="A279" s="1" t="s">
        <v>848</v>
      </c>
      <c r="B279" s="4">
        <v>45683</v>
      </c>
      <c r="C279" s="1" t="s">
        <v>537</v>
      </c>
      <c r="D279" s="1" t="s">
        <v>543</v>
      </c>
      <c r="E279" s="1">
        <v>24</v>
      </c>
      <c r="F279" s="2">
        <v>175241</v>
      </c>
      <c r="G279" s="2">
        <v>95173</v>
      </c>
      <c r="H279" s="1" t="s">
        <v>723</v>
      </c>
      <c r="I279" s="1" t="s">
        <v>539</v>
      </c>
      <c r="J279" s="2">
        <v>48626</v>
      </c>
      <c r="K279" s="1">
        <v>566</v>
      </c>
      <c r="L279" s="1" t="s">
        <v>522</v>
      </c>
      <c r="M279" s="2">
        <v>4205784</v>
      </c>
      <c r="N279" s="2">
        <v>2284152</v>
      </c>
      <c r="O279" s="2">
        <v>1873006</v>
      </c>
      <c r="P279" s="3">
        <v>0.44534051201868663</v>
      </c>
      <c r="Q279">
        <v>1</v>
      </c>
      <c r="R279" t="s">
        <v>1096</v>
      </c>
    </row>
    <row r="280" spans="1:18" ht="15.6">
      <c r="A280" s="1" t="s">
        <v>849</v>
      </c>
      <c r="B280" s="4">
        <v>45699</v>
      </c>
      <c r="C280" s="1" t="s">
        <v>658</v>
      </c>
      <c r="D280" s="1" t="s">
        <v>563</v>
      </c>
      <c r="E280" s="1">
        <v>19</v>
      </c>
      <c r="F280" s="2">
        <v>17639</v>
      </c>
      <c r="G280" s="2">
        <v>12453</v>
      </c>
      <c r="H280" s="1" t="s">
        <v>723</v>
      </c>
      <c r="I280" s="1" t="s">
        <v>560</v>
      </c>
      <c r="J280" s="2">
        <v>33209</v>
      </c>
      <c r="K280" s="1">
        <v>546</v>
      </c>
      <c r="L280" s="1" t="s">
        <v>522</v>
      </c>
      <c r="M280" s="2">
        <v>335141</v>
      </c>
      <c r="N280" s="2">
        <v>236607</v>
      </c>
      <c r="O280" s="2">
        <v>65325</v>
      </c>
      <c r="P280" s="3">
        <v>0.19491795990344363</v>
      </c>
      <c r="Q280">
        <v>2</v>
      </c>
      <c r="R280" t="s">
        <v>1094</v>
      </c>
    </row>
    <row r="281" spans="1:18" ht="15.6">
      <c r="A281" s="1" t="s">
        <v>850</v>
      </c>
      <c r="B281" s="4">
        <v>45705</v>
      </c>
      <c r="C281" s="1" t="s">
        <v>541</v>
      </c>
      <c r="D281" s="1" t="s">
        <v>519</v>
      </c>
      <c r="E281" s="1">
        <v>65</v>
      </c>
      <c r="F281" s="2">
        <v>111547</v>
      </c>
      <c r="G281" s="2">
        <v>70856</v>
      </c>
      <c r="H281" s="1" t="s">
        <v>851</v>
      </c>
      <c r="I281" s="1" t="s">
        <v>560</v>
      </c>
      <c r="J281" s="2">
        <v>30171</v>
      </c>
      <c r="K281" s="1">
        <v>675</v>
      </c>
      <c r="L281" s="1" t="s">
        <v>522</v>
      </c>
      <c r="M281" s="2">
        <v>7250555</v>
      </c>
      <c r="N281" s="2">
        <v>4605640</v>
      </c>
      <c r="O281" s="2">
        <v>2614744</v>
      </c>
      <c r="P281" s="3">
        <v>0.36062673822900454</v>
      </c>
      <c r="Q281">
        <v>2</v>
      </c>
      <c r="R281" t="s">
        <v>1094</v>
      </c>
    </row>
    <row r="282" spans="1:18" ht="15.6">
      <c r="A282" s="1" t="s">
        <v>852</v>
      </c>
      <c r="B282" s="4">
        <v>45897</v>
      </c>
      <c r="C282" s="1" t="s">
        <v>555</v>
      </c>
      <c r="D282" s="1" t="s">
        <v>584</v>
      </c>
      <c r="E282" s="1">
        <v>71</v>
      </c>
      <c r="F282" s="2">
        <v>156054</v>
      </c>
      <c r="G282" s="2">
        <v>70816</v>
      </c>
      <c r="H282" s="1" t="s">
        <v>851</v>
      </c>
      <c r="I282" s="1" t="s">
        <v>533</v>
      </c>
      <c r="J282" s="2">
        <v>45903</v>
      </c>
      <c r="K282" s="1">
        <v>718</v>
      </c>
      <c r="L282" s="1" t="s">
        <v>522</v>
      </c>
      <c r="M282" s="2">
        <v>11079834</v>
      </c>
      <c r="N282" s="2">
        <v>5027936</v>
      </c>
      <c r="O282" s="2">
        <v>6005995</v>
      </c>
      <c r="P282" s="3">
        <v>0.54206543166621446</v>
      </c>
      <c r="Q282">
        <v>8</v>
      </c>
      <c r="R282" t="s">
        <v>1097</v>
      </c>
    </row>
    <row r="283" spans="1:18" ht="15.6">
      <c r="A283" s="1" t="s">
        <v>853</v>
      </c>
      <c r="B283" s="4">
        <v>45793</v>
      </c>
      <c r="C283" s="1" t="s">
        <v>555</v>
      </c>
      <c r="D283" s="1" t="s">
        <v>553</v>
      </c>
      <c r="E283" s="1">
        <v>78</v>
      </c>
      <c r="F283" s="2">
        <v>8078</v>
      </c>
      <c r="G283" s="2">
        <v>41997</v>
      </c>
      <c r="H283" s="1" t="s">
        <v>851</v>
      </c>
      <c r="I283" s="1" t="s">
        <v>521</v>
      </c>
      <c r="J283" s="2">
        <v>47777</v>
      </c>
      <c r="K283" s="1">
        <v>649</v>
      </c>
      <c r="L283" s="1" t="s">
        <v>522</v>
      </c>
      <c r="M283" s="2">
        <v>630084</v>
      </c>
      <c r="N283" s="2">
        <v>3275766</v>
      </c>
      <c r="O283" s="2">
        <v>-2693459</v>
      </c>
      <c r="P283" s="3">
        <v>-4.2747617777947067</v>
      </c>
      <c r="Q283">
        <v>5</v>
      </c>
      <c r="R283" t="s">
        <v>1099</v>
      </c>
    </row>
    <row r="284" spans="1:18" ht="15.6">
      <c r="A284" s="1" t="s">
        <v>854</v>
      </c>
      <c r="B284" s="4">
        <v>45839</v>
      </c>
      <c r="C284" s="1" t="s">
        <v>577</v>
      </c>
      <c r="D284" s="1" t="s">
        <v>559</v>
      </c>
      <c r="E284" s="1">
        <v>60</v>
      </c>
      <c r="F284" s="2">
        <v>15658</v>
      </c>
      <c r="G284" s="2">
        <v>7326</v>
      </c>
      <c r="H284" s="1" t="s">
        <v>851</v>
      </c>
      <c r="I284" s="1" t="s">
        <v>533</v>
      </c>
      <c r="J284" s="2">
        <v>8637</v>
      </c>
      <c r="K284" s="1">
        <v>814</v>
      </c>
      <c r="L284" s="1" t="s">
        <v>522</v>
      </c>
      <c r="M284" s="2">
        <v>939480</v>
      </c>
      <c r="N284" s="2">
        <v>439560</v>
      </c>
      <c r="O284" s="2">
        <v>491283</v>
      </c>
      <c r="P284" s="3">
        <v>0.52293077021330947</v>
      </c>
      <c r="Q284">
        <v>7</v>
      </c>
      <c r="R284" t="s">
        <v>1100</v>
      </c>
    </row>
    <row r="285" spans="1:18" ht="15.6">
      <c r="A285" s="1" t="s">
        <v>855</v>
      </c>
      <c r="B285" s="4">
        <v>45693</v>
      </c>
      <c r="C285" s="1" t="s">
        <v>528</v>
      </c>
      <c r="D285" s="1" t="s">
        <v>547</v>
      </c>
      <c r="E285" s="1">
        <v>31</v>
      </c>
      <c r="F285" s="2">
        <v>77449</v>
      </c>
      <c r="G285" s="2">
        <v>58918</v>
      </c>
      <c r="H285" s="1" t="s">
        <v>851</v>
      </c>
      <c r="I285" s="1" t="s">
        <v>521</v>
      </c>
      <c r="J285" s="2">
        <v>39735</v>
      </c>
      <c r="K285" s="1">
        <v>47</v>
      </c>
      <c r="L285" s="1" t="s">
        <v>522</v>
      </c>
      <c r="M285" s="2">
        <v>2400919</v>
      </c>
      <c r="N285" s="2">
        <v>1826458</v>
      </c>
      <c r="O285" s="2">
        <v>534726</v>
      </c>
      <c r="P285" s="3">
        <v>0.22271721786532572</v>
      </c>
      <c r="Q285">
        <v>2</v>
      </c>
      <c r="R285" t="s">
        <v>1094</v>
      </c>
    </row>
    <row r="286" spans="1:18" ht="15.6">
      <c r="A286" s="1" t="s">
        <v>856</v>
      </c>
      <c r="B286" s="4">
        <v>45892</v>
      </c>
      <c r="C286" s="1" t="s">
        <v>649</v>
      </c>
      <c r="D286" s="1" t="s">
        <v>567</v>
      </c>
      <c r="E286" s="1">
        <v>10</v>
      </c>
      <c r="F286" s="2">
        <v>9602</v>
      </c>
      <c r="G286" s="2">
        <v>6289</v>
      </c>
      <c r="H286" s="1" t="s">
        <v>851</v>
      </c>
      <c r="I286" s="1" t="s">
        <v>533</v>
      </c>
      <c r="J286" s="2">
        <v>9396</v>
      </c>
      <c r="K286" s="1">
        <v>557</v>
      </c>
      <c r="L286" s="1" t="s">
        <v>522</v>
      </c>
      <c r="M286" s="2">
        <v>96020</v>
      </c>
      <c r="N286" s="2">
        <v>62890</v>
      </c>
      <c r="O286" s="2">
        <v>23734</v>
      </c>
      <c r="P286" s="3">
        <v>0.24717767131847532</v>
      </c>
      <c r="Q286">
        <v>8</v>
      </c>
      <c r="R286" t="s">
        <v>1097</v>
      </c>
    </row>
    <row r="287" spans="1:18" ht="15.6">
      <c r="A287" s="1" t="s">
        <v>857</v>
      </c>
      <c r="B287" s="4">
        <v>45737</v>
      </c>
      <c r="C287" s="1" t="s">
        <v>524</v>
      </c>
      <c r="D287" s="1" t="s">
        <v>584</v>
      </c>
      <c r="E287" s="1">
        <v>78</v>
      </c>
      <c r="F287" s="2">
        <v>44228</v>
      </c>
      <c r="G287" s="2">
        <v>24907</v>
      </c>
      <c r="H287" s="1" t="s">
        <v>851</v>
      </c>
      <c r="I287" s="1" t="s">
        <v>544</v>
      </c>
      <c r="J287" s="2">
        <v>35325</v>
      </c>
      <c r="K287" s="1">
        <v>576</v>
      </c>
      <c r="L287" s="1" t="s">
        <v>522</v>
      </c>
      <c r="M287" s="2">
        <v>3449784</v>
      </c>
      <c r="N287" s="2">
        <v>1942746</v>
      </c>
      <c r="O287" s="2">
        <v>1471713</v>
      </c>
      <c r="P287" s="3">
        <v>0.42661018776827769</v>
      </c>
      <c r="Q287">
        <v>3</v>
      </c>
      <c r="R287" t="s">
        <v>1104</v>
      </c>
    </row>
    <row r="288" spans="1:18" ht="15.6">
      <c r="A288" s="1" t="s">
        <v>858</v>
      </c>
      <c r="B288" s="4">
        <v>45670</v>
      </c>
      <c r="C288" s="1" t="s">
        <v>571</v>
      </c>
      <c r="D288" s="1" t="s">
        <v>525</v>
      </c>
      <c r="E288" s="1">
        <v>43</v>
      </c>
      <c r="F288" s="2">
        <v>14257</v>
      </c>
      <c r="G288" s="2">
        <v>83527</v>
      </c>
      <c r="H288" s="1" t="s">
        <v>851</v>
      </c>
      <c r="I288" s="1" t="s">
        <v>533</v>
      </c>
      <c r="J288" s="2">
        <v>21008</v>
      </c>
      <c r="K288" s="1">
        <v>844</v>
      </c>
      <c r="L288" s="1" t="s">
        <v>522</v>
      </c>
      <c r="M288" s="2">
        <v>613051</v>
      </c>
      <c r="N288" s="2">
        <v>3591661</v>
      </c>
      <c r="O288" s="2">
        <v>-2999618</v>
      </c>
      <c r="P288" s="3">
        <v>-4.8929338668397895</v>
      </c>
      <c r="Q288">
        <v>1</v>
      </c>
      <c r="R288" t="s">
        <v>1096</v>
      </c>
    </row>
    <row r="289" spans="1:18" ht="15.6">
      <c r="A289" s="1" t="s">
        <v>859</v>
      </c>
      <c r="B289" s="4">
        <v>46009</v>
      </c>
      <c r="C289" s="1" t="s">
        <v>589</v>
      </c>
      <c r="D289" s="1" t="s">
        <v>525</v>
      </c>
      <c r="E289" s="1">
        <v>26</v>
      </c>
      <c r="F289" s="2">
        <v>70646</v>
      </c>
      <c r="G289" s="2">
        <v>33422</v>
      </c>
      <c r="H289" s="1" t="s">
        <v>851</v>
      </c>
      <c r="I289" s="1" t="s">
        <v>544</v>
      </c>
      <c r="J289" s="2">
        <v>42389</v>
      </c>
      <c r="K289" s="1">
        <v>782</v>
      </c>
      <c r="L289" s="1" t="s">
        <v>522</v>
      </c>
      <c r="M289" s="2">
        <v>1836796</v>
      </c>
      <c r="N289" s="2">
        <v>868972</v>
      </c>
      <c r="O289" s="2">
        <v>925435</v>
      </c>
      <c r="P289" s="3">
        <v>0.50383112768102722</v>
      </c>
      <c r="Q289">
        <v>12</v>
      </c>
      <c r="R289" t="s">
        <v>1102</v>
      </c>
    </row>
    <row r="290" spans="1:18" ht="15.6">
      <c r="A290" s="1" t="s">
        <v>860</v>
      </c>
      <c r="B290" s="4">
        <v>45968</v>
      </c>
      <c r="C290" s="1" t="s">
        <v>579</v>
      </c>
      <c r="D290" s="1" t="s">
        <v>529</v>
      </c>
      <c r="E290" s="1">
        <v>60</v>
      </c>
      <c r="F290" s="2">
        <v>83987</v>
      </c>
      <c r="G290" s="2">
        <v>5652</v>
      </c>
      <c r="H290" s="1" t="s">
        <v>851</v>
      </c>
      <c r="I290" s="1" t="s">
        <v>539</v>
      </c>
      <c r="J290" s="2">
        <v>52624</v>
      </c>
      <c r="K290" s="1">
        <v>93</v>
      </c>
      <c r="L290" s="1" t="s">
        <v>522</v>
      </c>
      <c r="M290" s="2">
        <v>5039220</v>
      </c>
      <c r="N290" s="2">
        <v>339120</v>
      </c>
      <c r="O290" s="2">
        <v>4647476</v>
      </c>
      <c r="P290" s="3">
        <v>0.92226098483495467</v>
      </c>
      <c r="Q290">
        <v>11</v>
      </c>
      <c r="R290" t="s">
        <v>1105</v>
      </c>
    </row>
    <row r="291" spans="1:18" ht="15.6">
      <c r="A291" s="1" t="s">
        <v>861</v>
      </c>
      <c r="B291" s="4">
        <v>45820</v>
      </c>
      <c r="C291" s="1" t="s">
        <v>604</v>
      </c>
      <c r="D291" s="1" t="s">
        <v>567</v>
      </c>
      <c r="E291" s="1">
        <v>57</v>
      </c>
      <c r="F291" s="2">
        <v>113376</v>
      </c>
      <c r="G291" s="2">
        <v>7793</v>
      </c>
      <c r="H291" s="1" t="s">
        <v>851</v>
      </c>
      <c r="I291" s="1" t="s">
        <v>539</v>
      </c>
      <c r="J291" s="2">
        <v>54834</v>
      </c>
      <c r="K291" s="1">
        <v>724</v>
      </c>
      <c r="L291" s="1" t="s">
        <v>522</v>
      </c>
      <c r="M291" s="2">
        <v>6462432</v>
      </c>
      <c r="N291" s="2">
        <v>444201</v>
      </c>
      <c r="O291" s="2">
        <v>5963397</v>
      </c>
      <c r="P291" s="3">
        <v>0.92277907140841098</v>
      </c>
      <c r="Q291">
        <v>6</v>
      </c>
      <c r="R291" t="s">
        <v>1101</v>
      </c>
    </row>
    <row r="292" spans="1:18" ht="15.6">
      <c r="A292" s="1" t="s">
        <v>862</v>
      </c>
      <c r="B292" s="4">
        <v>45901</v>
      </c>
      <c r="C292" s="1" t="s">
        <v>566</v>
      </c>
      <c r="D292" s="1" t="s">
        <v>584</v>
      </c>
      <c r="E292" s="1">
        <v>32</v>
      </c>
      <c r="F292" s="2">
        <v>152456</v>
      </c>
      <c r="G292" s="2">
        <v>82557</v>
      </c>
      <c r="H292" s="1" t="s">
        <v>851</v>
      </c>
      <c r="I292" s="1" t="s">
        <v>539</v>
      </c>
      <c r="J292" s="2">
        <v>42605</v>
      </c>
      <c r="K292" s="1">
        <v>587</v>
      </c>
      <c r="L292" s="1" t="s">
        <v>522</v>
      </c>
      <c r="M292" s="2">
        <v>4878592</v>
      </c>
      <c r="N292" s="2">
        <v>2641824</v>
      </c>
      <c r="O292" s="2">
        <v>2194163</v>
      </c>
      <c r="P292" s="3">
        <v>0.44975333046911897</v>
      </c>
      <c r="Q292">
        <v>9</v>
      </c>
      <c r="R292" t="s">
        <v>1103</v>
      </c>
    </row>
    <row r="293" spans="1:18" ht="15.6">
      <c r="A293" s="1" t="s">
        <v>863</v>
      </c>
      <c r="B293" s="4">
        <v>46014</v>
      </c>
      <c r="C293" s="1" t="s">
        <v>604</v>
      </c>
      <c r="D293" s="1" t="s">
        <v>584</v>
      </c>
      <c r="E293" s="1">
        <v>77</v>
      </c>
      <c r="F293" s="2">
        <v>146551</v>
      </c>
      <c r="G293" s="2">
        <v>104455</v>
      </c>
      <c r="H293" s="1" t="s">
        <v>851</v>
      </c>
      <c r="I293" s="1" t="s">
        <v>533</v>
      </c>
      <c r="J293" s="2">
        <v>25832</v>
      </c>
      <c r="K293" s="1">
        <v>664</v>
      </c>
      <c r="L293" s="1" t="s">
        <v>522</v>
      </c>
      <c r="M293" s="2">
        <v>11284427</v>
      </c>
      <c r="N293" s="2">
        <v>8043035</v>
      </c>
      <c r="O293" s="2">
        <v>3215560</v>
      </c>
      <c r="P293" s="3">
        <v>0.28495554094151171</v>
      </c>
      <c r="Q293">
        <v>12</v>
      </c>
      <c r="R293" t="s">
        <v>1102</v>
      </c>
    </row>
    <row r="294" spans="1:18" ht="15.6">
      <c r="A294" s="1" t="s">
        <v>864</v>
      </c>
      <c r="B294" s="4">
        <v>45756</v>
      </c>
      <c r="C294" s="1" t="s">
        <v>541</v>
      </c>
      <c r="D294" s="1" t="s">
        <v>525</v>
      </c>
      <c r="E294" s="1">
        <v>62</v>
      </c>
      <c r="F294" s="2">
        <v>55558</v>
      </c>
      <c r="G294" s="2">
        <v>35811</v>
      </c>
      <c r="H294" s="1" t="s">
        <v>851</v>
      </c>
      <c r="I294" s="1" t="s">
        <v>560</v>
      </c>
      <c r="J294" s="2">
        <v>2198</v>
      </c>
      <c r="K294" s="1">
        <v>5</v>
      </c>
      <c r="L294" s="1" t="s">
        <v>522</v>
      </c>
      <c r="M294" s="2">
        <v>3444596</v>
      </c>
      <c r="N294" s="2">
        <v>2220282</v>
      </c>
      <c r="O294" s="2">
        <v>1222116</v>
      </c>
      <c r="P294" s="3">
        <v>0.35479226010829717</v>
      </c>
      <c r="Q294">
        <v>4</v>
      </c>
      <c r="R294" t="s">
        <v>1098</v>
      </c>
    </row>
    <row r="295" spans="1:18" ht="15.6">
      <c r="A295" s="1" t="s">
        <v>865</v>
      </c>
      <c r="B295" s="4">
        <v>45978</v>
      </c>
      <c r="C295" s="1" t="s">
        <v>583</v>
      </c>
      <c r="D295" s="1" t="s">
        <v>556</v>
      </c>
      <c r="E295" s="1">
        <v>26</v>
      </c>
      <c r="F295" s="2">
        <v>81124</v>
      </c>
      <c r="G295" s="2">
        <v>51084</v>
      </c>
      <c r="H295" s="1" t="s">
        <v>851</v>
      </c>
      <c r="I295" s="1" t="s">
        <v>521</v>
      </c>
      <c r="J295" s="2">
        <v>59505</v>
      </c>
      <c r="K295" s="1">
        <v>863</v>
      </c>
      <c r="L295" s="1" t="s">
        <v>522</v>
      </c>
      <c r="M295" s="2">
        <v>2109224</v>
      </c>
      <c r="N295" s="2">
        <v>1328184</v>
      </c>
      <c r="O295" s="2">
        <v>721535</v>
      </c>
      <c r="P295" s="3">
        <v>0.3420855252927143</v>
      </c>
      <c r="Q295">
        <v>11</v>
      </c>
      <c r="R295" t="s">
        <v>1105</v>
      </c>
    </row>
    <row r="296" spans="1:18" ht="15.6">
      <c r="A296" s="1" t="s">
        <v>866</v>
      </c>
      <c r="B296" s="4">
        <v>46003</v>
      </c>
      <c r="C296" s="1" t="s">
        <v>658</v>
      </c>
      <c r="D296" s="1" t="s">
        <v>553</v>
      </c>
      <c r="E296" s="1">
        <v>74</v>
      </c>
      <c r="F296" s="2">
        <v>108985</v>
      </c>
      <c r="G296" s="2">
        <v>49789</v>
      </c>
      <c r="H296" s="1" t="s">
        <v>851</v>
      </c>
      <c r="I296" s="1" t="s">
        <v>544</v>
      </c>
      <c r="J296" s="2">
        <v>39575</v>
      </c>
      <c r="K296" s="1">
        <v>832</v>
      </c>
      <c r="L296" s="1" t="s">
        <v>522</v>
      </c>
      <c r="M296" s="2">
        <v>8064890</v>
      </c>
      <c r="N296" s="2">
        <v>3684386</v>
      </c>
      <c r="O296" s="2">
        <v>4340929</v>
      </c>
      <c r="P296" s="3">
        <v>0.53825024271874755</v>
      </c>
      <c r="Q296">
        <v>12</v>
      </c>
      <c r="R296" t="s">
        <v>1102</v>
      </c>
    </row>
    <row r="297" spans="1:18" ht="15.6">
      <c r="A297" s="1" t="s">
        <v>867</v>
      </c>
      <c r="B297" s="4">
        <v>45898</v>
      </c>
      <c r="C297" s="1" t="s">
        <v>555</v>
      </c>
      <c r="D297" s="1" t="s">
        <v>556</v>
      </c>
      <c r="E297" s="1">
        <v>57</v>
      </c>
      <c r="F297" s="2">
        <v>165565</v>
      </c>
      <c r="G297" s="2">
        <v>8442</v>
      </c>
      <c r="H297" s="1" t="s">
        <v>851</v>
      </c>
      <c r="I297" s="1" t="s">
        <v>539</v>
      </c>
      <c r="J297" s="2">
        <v>43087</v>
      </c>
      <c r="K297" s="1">
        <v>696</v>
      </c>
      <c r="L297" s="1" t="s">
        <v>522</v>
      </c>
      <c r="M297" s="2">
        <v>9437205</v>
      </c>
      <c r="N297" s="2">
        <v>481194</v>
      </c>
      <c r="O297" s="2">
        <v>8912924</v>
      </c>
      <c r="P297" s="3">
        <v>0.94444530981365771</v>
      </c>
      <c r="Q297">
        <v>8</v>
      </c>
      <c r="R297" t="s">
        <v>1097</v>
      </c>
    </row>
    <row r="298" spans="1:18" ht="15.6">
      <c r="A298" s="1" t="s">
        <v>868</v>
      </c>
      <c r="B298" s="4">
        <v>45917</v>
      </c>
      <c r="C298" s="1" t="s">
        <v>524</v>
      </c>
      <c r="D298" s="1" t="s">
        <v>553</v>
      </c>
      <c r="E298" s="1">
        <v>1</v>
      </c>
      <c r="F298" s="2">
        <v>56648</v>
      </c>
      <c r="G298" s="2">
        <v>31073</v>
      </c>
      <c r="H298" s="1" t="s">
        <v>851</v>
      </c>
      <c r="I298" s="1" t="s">
        <v>560</v>
      </c>
      <c r="J298" s="2">
        <v>64934</v>
      </c>
      <c r="K298" s="1">
        <v>695</v>
      </c>
      <c r="L298" s="1" t="s">
        <v>522</v>
      </c>
      <c r="M298" s="2">
        <v>56648</v>
      </c>
      <c r="N298" s="2">
        <v>31073</v>
      </c>
      <c r="O298" s="2">
        <v>-39359</v>
      </c>
      <c r="P298" s="3">
        <v>-0.69479946335263376</v>
      </c>
      <c r="Q298">
        <v>9</v>
      </c>
      <c r="R298" t="s">
        <v>1103</v>
      </c>
    </row>
    <row r="299" spans="1:18" ht="15.6">
      <c r="A299" s="1" t="s">
        <v>869</v>
      </c>
      <c r="B299" s="4">
        <v>45950</v>
      </c>
      <c r="C299" s="1" t="s">
        <v>551</v>
      </c>
      <c r="D299" s="1" t="s">
        <v>519</v>
      </c>
      <c r="E299" s="1">
        <v>53</v>
      </c>
      <c r="F299" s="2">
        <v>15507</v>
      </c>
      <c r="G299" s="2">
        <v>10789</v>
      </c>
      <c r="H299" s="1" t="s">
        <v>851</v>
      </c>
      <c r="I299" s="1" t="s">
        <v>539</v>
      </c>
      <c r="J299" s="2">
        <v>28165</v>
      </c>
      <c r="K299" s="1">
        <v>782</v>
      </c>
      <c r="L299" s="1" t="s">
        <v>522</v>
      </c>
      <c r="M299" s="2">
        <v>821871</v>
      </c>
      <c r="N299" s="2">
        <v>571817</v>
      </c>
      <c r="O299" s="2">
        <v>221889</v>
      </c>
      <c r="P299" s="3">
        <v>0.26998032537953037</v>
      </c>
      <c r="Q299">
        <v>10</v>
      </c>
      <c r="R299" t="s">
        <v>1095</v>
      </c>
    </row>
    <row r="300" spans="1:18" ht="15.6">
      <c r="A300" s="1" t="s">
        <v>870</v>
      </c>
      <c r="B300" s="4">
        <v>45826</v>
      </c>
      <c r="C300" s="1" t="s">
        <v>518</v>
      </c>
      <c r="D300" s="1" t="s">
        <v>556</v>
      </c>
      <c r="E300" s="1">
        <v>69</v>
      </c>
      <c r="F300" s="2">
        <v>73362</v>
      </c>
      <c r="G300" s="2">
        <v>40679</v>
      </c>
      <c r="H300" s="1" t="s">
        <v>851</v>
      </c>
      <c r="I300" s="1" t="s">
        <v>539</v>
      </c>
      <c r="J300" s="2">
        <v>57343</v>
      </c>
      <c r="K300" s="1">
        <v>468</v>
      </c>
      <c r="L300" s="1" t="s">
        <v>522</v>
      </c>
      <c r="M300" s="2">
        <v>5061978</v>
      </c>
      <c r="N300" s="2">
        <v>2806851</v>
      </c>
      <c r="O300" s="2">
        <v>2197784</v>
      </c>
      <c r="P300" s="3">
        <v>0.43417494110009963</v>
      </c>
      <c r="Q300">
        <v>6</v>
      </c>
      <c r="R300" t="s">
        <v>1101</v>
      </c>
    </row>
    <row r="301" spans="1:18" ht="15.6">
      <c r="A301" s="1" t="s">
        <v>871</v>
      </c>
      <c r="B301" s="4">
        <v>45713</v>
      </c>
      <c r="C301" s="1" t="s">
        <v>671</v>
      </c>
      <c r="D301" s="1" t="s">
        <v>519</v>
      </c>
      <c r="E301" s="1">
        <v>61</v>
      </c>
      <c r="F301" s="2">
        <v>12304</v>
      </c>
      <c r="G301" s="2">
        <v>9127</v>
      </c>
      <c r="H301" s="1" t="s">
        <v>851</v>
      </c>
      <c r="I301" s="1" t="s">
        <v>544</v>
      </c>
      <c r="J301" s="2">
        <v>59915</v>
      </c>
      <c r="K301" s="1">
        <v>561</v>
      </c>
      <c r="L301" s="1" t="s">
        <v>522</v>
      </c>
      <c r="M301" s="2">
        <v>750544</v>
      </c>
      <c r="N301" s="2">
        <v>556747</v>
      </c>
      <c r="O301" s="2">
        <v>133882</v>
      </c>
      <c r="P301" s="3">
        <v>0.17837994841075275</v>
      </c>
      <c r="Q301">
        <v>2</v>
      </c>
      <c r="R301" t="s">
        <v>1094</v>
      </c>
    </row>
    <row r="302" spans="1:18" ht="15.6">
      <c r="A302" s="1" t="s">
        <v>872</v>
      </c>
      <c r="B302" s="4">
        <v>45778</v>
      </c>
      <c r="C302" s="1" t="s">
        <v>531</v>
      </c>
      <c r="D302" s="1" t="s">
        <v>532</v>
      </c>
      <c r="E302" s="1">
        <v>18</v>
      </c>
      <c r="F302" s="2">
        <v>74847</v>
      </c>
      <c r="G302" s="2">
        <v>42845</v>
      </c>
      <c r="H302" s="1" t="s">
        <v>851</v>
      </c>
      <c r="I302" s="1" t="s">
        <v>560</v>
      </c>
      <c r="J302" s="2">
        <v>30148</v>
      </c>
      <c r="K302" s="1">
        <v>821</v>
      </c>
      <c r="L302" s="1" t="s">
        <v>522</v>
      </c>
      <c r="M302" s="2">
        <v>1347246</v>
      </c>
      <c r="N302" s="2">
        <v>771210</v>
      </c>
      <c r="O302" s="2">
        <v>545888</v>
      </c>
      <c r="P302" s="3">
        <v>0.40518806513435557</v>
      </c>
      <c r="Q302">
        <v>5</v>
      </c>
      <c r="R302" t="s">
        <v>1099</v>
      </c>
    </row>
    <row r="303" spans="1:18" ht="15.6">
      <c r="A303" s="1" t="s">
        <v>873</v>
      </c>
      <c r="B303" s="4">
        <v>45778</v>
      </c>
      <c r="C303" s="1" t="s">
        <v>518</v>
      </c>
      <c r="D303" s="1" t="s">
        <v>529</v>
      </c>
      <c r="E303" s="1">
        <v>13</v>
      </c>
      <c r="F303" s="2">
        <v>17672</v>
      </c>
      <c r="G303" s="2">
        <v>100946</v>
      </c>
      <c r="H303" s="1" t="s">
        <v>851</v>
      </c>
      <c r="I303" s="1" t="s">
        <v>544</v>
      </c>
      <c r="J303" s="2">
        <v>8633</v>
      </c>
      <c r="K303" s="1">
        <v>588</v>
      </c>
      <c r="L303" s="1" t="s">
        <v>522</v>
      </c>
      <c r="M303" s="2">
        <v>229736</v>
      </c>
      <c r="N303" s="2">
        <v>1312298</v>
      </c>
      <c r="O303" s="2">
        <v>-1091195</v>
      </c>
      <c r="P303" s="3">
        <v>-4.7497780060591284</v>
      </c>
      <c r="Q303">
        <v>5</v>
      </c>
      <c r="R303" t="s">
        <v>1099</v>
      </c>
    </row>
    <row r="304" spans="1:18" ht="15.6">
      <c r="A304" s="1" t="s">
        <v>874</v>
      </c>
      <c r="B304" s="4">
        <v>45972</v>
      </c>
      <c r="C304" s="1" t="s">
        <v>671</v>
      </c>
      <c r="D304" s="1" t="s">
        <v>556</v>
      </c>
      <c r="E304" s="1">
        <v>72</v>
      </c>
      <c r="F304" s="2">
        <v>12516</v>
      </c>
      <c r="G304" s="2">
        <v>947</v>
      </c>
      <c r="H304" s="1" t="s">
        <v>851</v>
      </c>
      <c r="I304" s="1" t="s">
        <v>544</v>
      </c>
      <c r="J304" s="2">
        <v>6737</v>
      </c>
      <c r="K304" s="1">
        <v>587</v>
      </c>
      <c r="L304" s="1" t="s">
        <v>522</v>
      </c>
      <c r="M304" s="2">
        <v>901152</v>
      </c>
      <c r="N304" s="2">
        <v>68184</v>
      </c>
      <c r="O304" s="2">
        <v>826231</v>
      </c>
      <c r="P304" s="3">
        <v>0.91686086254039278</v>
      </c>
      <c r="Q304">
        <v>11</v>
      </c>
      <c r="R304" t="s">
        <v>1105</v>
      </c>
    </row>
    <row r="305" spans="1:18" ht="15.6">
      <c r="A305" s="1" t="s">
        <v>875</v>
      </c>
      <c r="B305" s="4">
        <v>45907</v>
      </c>
      <c r="C305" s="1" t="s">
        <v>555</v>
      </c>
      <c r="D305" s="1" t="s">
        <v>556</v>
      </c>
      <c r="E305" s="1">
        <v>40</v>
      </c>
      <c r="F305" s="2">
        <v>15812</v>
      </c>
      <c r="G305" s="2">
        <v>9178</v>
      </c>
      <c r="H305" s="1" t="s">
        <v>851</v>
      </c>
      <c r="I305" s="1" t="s">
        <v>533</v>
      </c>
      <c r="J305" s="2">
        <v>5461</v>
      </c>
      <c r="K305" s="1">
        <v>601</v>
      </c>
      <c r="L305" s="1" t="s">
        <v>522</v>
      </c>
      <c r="M305" s="2">
        <v>632480</v>
      </c>
      <c r="N305" s="2">
        <v>367120</v>
      </c>
      <c r="O305" s="2">
        <v>259899</v>
      </c>
      <c r="P305" s="3">
        <v>0.41092050341512776</v>
      </c>
      <c r="Q305">
        <v>9</v>
      </c>
      <c r="R305" t="s">
        <v>1103</v>
      </c>
    </row>
    <row r="306" spans="1:18" ht="15.6">
      <c r="A306" s="1" t="s">
        <v>876</v>
      </c>
      <c r="B306" s="4">
        <v>45728</v>
      </c>
      <c r="C306" s="1" t="s">
        <v>604</v>
      </c>
      <c r="D306" s="1" t="s">
        <v>584</v>
      </c>
      <c r="E306" s="1">
        <v>38</v>
      </c>
      <c r="F306" s="2">
        <v>64437</v>
      </c>
      <c r="G306" s="2">
        <v>29161</v>
      </c>
      <c r="H306" s="1" t="s">
        <v>851</v>
      </c>
      <c r="I306" s="1" t="s">
        <v>539</v>
      </c>
      <c r="J306" s="2">
        <v>15542</v>
      </c>
      <c r="K306" s="1">
        <v>64</v>
      </c>
      <c r="L306" s="1" t="s">
        <v>522</v>
      </c>
      <c r="M306" s="2">
        <v>2448606</v>
      </c>
      <c r="N306" s="2">
        <v>1108118</v>
      </c>
      <c r="O306" s="2">
        <v>1324946</v>
      </c>
      <c r="P306" s="3">
        <v>0.54110216180144943</v>
      </c>
      <c r="Q306">
        <v>3</v>
      </c>
      <c r="R306" t="s">
        <v>1104</v>
      </c>
    </row>
    <row r="307" spans="1:18" ht="15.6">
      <c r="A307" s="1" t="s">
        <v>877</v>
      </c>
      <c r="B307" s="4">
        <v>45816</v>
      </c>
      <c r="C307" s="1" t="s">
        <v>589</v>
      </c>
      <c r="D307" s="1" t="s">
        <v>529</v>
      </c>
      <c r="E307" s="1">
        <v>29</v>
      </c>
      <c r="F307" s="2">
        <v>65288</v>
      </c>
      <c r="G307" s="2">
        <v>33002</v>
      </c>
      <c r="H307" s="1" t="s">
        <v>851</v>
      </c>
      <c r="I307" s="1" t="s">
        <v>533</v>
      </c>
      <c r="J307" s="2">
        <v>36836</v>
      </c>
      <c r="K307" s="1">
        <v>547</v>
      </c>
      <c r="L307" s="1" t="s">
        <v>522</v>
      </c>
      <c r="M307" s="2">
        <v>1893352</v>
      </c>
      <c r="N307" s="2">
        <v>957058</v>
      </c>
      <c r="O307" s="2">
        <v>899458</v>
      </c>
      <c r="P307" s="3">
        <v>0.47506116136883159</v>
      </c>
      <c r="Q307">
        <v>6</v>
      </c>
      <c r="R307" t="s">
        <v>1101</v>
      </c>
    </row>
    <row r="308" spans="1:18" ht="15.6">
      <c r="A308" s="1" t="s">
        <v>878</v>
      </c>
      <c r="B308" s="4">
        <v>45972</v>
      </c>
      <c r="C308" s="1" t="s">
        <v>528</v>
      </c>
      <c r="D308" s="1" t="s">
        <v>532</v>
      </c>
      <c r="E308" s="1">
        <v>50</v>
      </c>
      <c r="F308" s="2">
        <v>87586</v>
      </c>
      <c r="G308" s="2">
        <v>55435</v>
      </c>
      <c r="H308" s="1" t="s">
        <v>851</v>
      </c>
      <c r="I308" s="1" t="s">
        <v>533</v>
      </c>
      <c r="J308" s="2">
        <v>31984</v>
      </c>
      <c r="K308" s="1">
        <v>855</v>
      </c>
      <c r="L308" s="1" t="s">
        <v>522</v>
      </c>
      <c r="M308" s="2">
        <v>4379300</v>
      </c>
      <c r="N308" s="2">
        <v>2771750</v>
      </c>
      <c r="O308" s="2">
        <v>1575566</v>
      </c>
      <c r="P308" s="3">
        <v>0.35977576324983446</v>
      </c>
      <c r="Q308">
        <v>11</v>
      </c>
      <c r="R308" t="s">
        <v>1105</v>
      </c>
    </row>
    <row r="309" spans="1:18" ht="15.6">
      <c r="A309" s="1" t="s">
        <v>879</v>
      </c>
      <c r="B309" s="4">
        <v>45684</v>
      </c>
      <c r="C309" s="1" t="s">
        <v>579</v>
      </c>
      <c r="D309" s="1" t="s">
        <v>569</v>
      </c>
      <c r="E309" s="1">
        <v>48</v>
      </c>
      <c r="F309" s="2">
        <v>103381</v>
      </c>
      <c r="G309" s="2">
        <v>50021</v>
      </c>
      <c r="H309" s="1" t="s">
        <v>851</v>
      </c>
      <c r="I309" s="1" t="s">
        <v>533</v>
      </c>
      <c r="J309" s="2">
        <v>22104</v>
      </c>
      <c r="K309" s="1">
        <v>832</v>
      </c>
      <c r="L309" s="1" t="s">
        <v>522</v>
      </c>
      <c r="M309" s="2">
        <v>4962288</v>
      </c>
      <c r="N309" s="2">
        <v>2401008</v>
      </c>
      <c r="O309" s="2">
        <v>2539176</v>
      </c>
      <c r="P309" s="3">
        <v>0.51169460539170641</v>
      </c>
      <c r="Q309">
        <v>1</v>
      </c>
      <c r="R309" t="s">
        <v>1096</v>
      </c>
    </row>
    <row r="310" spans="1:18" ht="15.6">
      <c r="A310" s="1" t="s">
        <v>880</v>
      </c>
      <c r="B310" s="4">
        <v>45667</v>
      </c>
      <c r="C310" s="1" t="s">
        <v>524</v>
      </c>
      <c r="D310" s="1" t="s">
        <v>519</v>
      </c>
      <c r="E310" s="1">
        <v>20</v>
      </c>
      <c r="F310" s="2">
        <v>102394</v>
      </c>
      <c r="G310" s="2">
        <v>70651</v>
      </c>
      <c r="H310" s="1" t="s">
        <v>851</v>
      </c>
      <c r="I310" s="1" t="s">
        <v>539</v>
      </c>
      <c r="J310" s="2">
        <v>11671</v>
      </c>
      <c r="K310" s="1">
        <v>594</v>
      </c>
      <c r="L310" s="1" t="s">
        <v>522</v>
      </c>
      <c r="M310" s="2">
        <v>2047880</v>
      </c>
      <c r="N310" s="2">
        <v>1413020</v>
      </c>
      <c r="O310" s="2">
        <v>623189</v>
      </c>
      <c r="P310" s="3">
        <v>0.3043093345313202</v>
      </c>
      <c r="Q310">
        <v>1</v>
      </c>
      <c r="R310" t="s">
        <v>1096</v>
      </c>
    </row>
    <row r="311" spans="1:18" ht="15.6">
      <c r="A311" s="1" t="s">
        <v>881</v>
      </c>
      <c r="B311" s="4">
        <v>45679</v>
      </c>
      <c r="C311" s="1" t="s">
        <v>649</v>
      </c>
      <c r="D311" s="1" t="s">
        <v>567</v>
      </c>
      <c r="E311" s="1">
        <v>40</v>
      </c>
      <c r="F311" s="2">
        <v>96646</v>
      </c>
      <c r="G311" s="2">
        <v>75037</v>
      </c>
      <c r="H311" s="1" t="s">
        <v>851</v>
      </c>
      <c r="I311" s="1" t="s">
        <v>539</v>
      </c>
      <c r="J311" s="2">
        <v>20199</v>
      </c>
      <c r="K311" s="1">
        <v>827</v>
      </c>
      <c r="L311" s="1" t="s">
        <v>522</v>
      </c>
      <c r="M311" s="2">
        <v>3865840</v>
      </c>
      <c r="N311" s="2">
        <v>3001480</v>
      </c>
      <c r="O311" s="2">
        <v>844161</v>
      </c>
      <c r="P311" s="3">
        <v>0.2183641847567411</v>
      </c>
      <c r="Q311">
        <v>1</v>
      </c>
      <c r="R311" t="s">
        <v>1096</v>
      </c>
    </row>
    <row r="312" spans="1:18" ht="15.6">
      <c r="A312" s="1" t="s">
        <v>882</v>
      </c>
      <c r="B312" s="4">
        <v>45855</v>
      </c>
      <c r="C312" s="1" t="s">
        <v>649</v>
      </c>
      <c r="D312" s="1" t="s">
        <v>538</v>
      </c>
      <c r="E312" s="1">
        <v>64</v>
      </c>
      <c r="F312" s="2">
        <v>127036</v>
      </c>
      <c r="G312" s="2">
        <v>72566</v>
      </c>
      <c r="H312" s="1" t="s">
        <v>851</v>
      </c>
      <c r="I312" s="1" t="s">
        <v>544</v>
      </c>
      <c r="J312" s="2">
        <v>53069</v>
      </c>
      <c r="K312" s="1">
        <v>814</v>
      </c>
      <c r="L312" s="1" t="s">
        <v>522</v>
      </c>
      <c r="M312" s="2">
        <v>8130304</v>
      </c>
      <c r="N312" s="2">
        <v>4644224</v>
      </c>
      <c r="O312" s="2">
        <v>3433011</v>
      </c>
      <c r="P312" s="3">
        <v>0.42224878676123306</v>
      </c>
      <c r="Q312">
        <v>7</v>
      </c>
      <c r="R312" t="s">
        <v>1100</v>
      </c>
    </row>
    <row r="313" spans="1:18" ht="15.6">
      <c r="A313" s="1" t="s">
        <v>883</v>
      </c>
      <c r="B313" s="4">
        <v>46005</v>
      </c>
      <c r="C313" s="1" t="s">
        <v>595</v>
      </c>
      <c r="D313" s="1" t="s">
        <v>569</v>
      </c>
      <c r="E313" s="1">
        <v>5</v>
      </c>
      <c r="F313" s="2">
        <v>29712</v>
      </c>
      <c r="G313" s="2">
        <v>15684</v>
      </c>
      <c r="H313" s="1" t="s">
        <v>851</v>
      </c>
      <c r="I313" s="1" t="s">
        <v>544</v>
      </c>
      <c r="J313" s="2">
        <v>26729</v>
      </c>
      <c r="K313" s="1">
        <v>925</v>
      </c>
      <c r="L313" s="1" t="s">
        <v>522</v>
      </c>
      <c r="M313" s="2">
        <v>148560</v>
      </c>
      <c r="N313" s="2">
        <v>78420</v>
      </c>
      <c r="O313" s="2">
        <v>43411</v>
      </c>
      <c r="P313" s="3">
        <v>0.29221190091545501</v>
      </c>
      <c r="Q313">
        <v>12</v>
      </c>
      <c r="R313" t="s">
        <v>1102</v>
      </c>
    </row>
    <row r="314" spans="1:18" ht="15.6">
      <c r="A314" s="1" t="s">
        <v>884</v>
      </c>
      <c r="B314" s="4">
        <v>45990</v>
      </c>
      <c r="C314" s="1" t="s">
        <v>524</v>
      </c>
      <c r="D314" s="1" t="s">
        <v>519</v>
      </c>
      <c r="E314" s="1">
        <v>15</v>
      </c>
      <c r="F314" s="2">
        <v>12457</v>
      </c>
      <c r="G314" s="2">
        <v>637</v>
      </c>
      <c r="H314" s="1" t="s">
        <v>851</v>
      </c>
      <c r="I314" s="1" t="s">
        <v>539</v>
      </c>
      <c r="J314" s="2">
        <v>59813</v>
      </c>
      <c r="K314" s="1">
        <v>509</v>
      </c>
      <c r="L314" s="1" t="s">
        <v>522</v>
      </c>
      <c r="M314" s="2">
        <v>186855</v>
      </c>
      <c r="N314" s="2">
        <v>9555</v>
      </c>
      <c r="O314" s="2">
        <v>117487</v>
      </c>
      <c r="P314" s="3">
        <v>0.62876026865751522</v>
      </c>
      <c r="Q314">
        <v>11</v>
      </c>
      <c r="R314" t="s">
        <v>1105</v>
      </c>
    </row>
    <row r="315" spans="1:18" ht="15.6">
      <c r="A315" s="1" t="s">
        <v>885</v>
      </c>
      <c r="B315" s="4">
        <v>45671</v>
      </c>
      <c r="C315" s="1" t="s">
        <v>600</v>
      </c>
      <c r="D315" s="1" t="s">
        <v>532</v>
      </c>
      <c r="E315" s="1">
        <v>74</v>
      </c>
      <c r="F315" s="2">
        <v>71453</v>
      </c>
      <c r="G315" s="2">
        <v>51104</v>
      </c>
      <c r="H315" s="1" t="s">
        <v>851</v>
      </c>
      <c r="I315" s="1" t="s">
        <v>521</v>
      </c>
      <c r="J315" s="2">
        <v>41717</v>
      </c>
      <c r="K315" s="1">
        <v>493</v>
      </c>
      <c r="L315" s="1" t="s">
        <v>522</v>
      </c>
      <c r="M315" s="2">
        <v>5287522</v>
      </c>
      <c r="N315" s="2">
        <v>3781696</v>
      </c>
      <c r="O315" s="2">
        <v>1464109</v>
      </c>
      <c r="P315" s="3">
        <v>0.27689889517244559</v>
      </c>
      <c r="Q315">
        <v>1</v>
      </c>
      <c r="R315" t="s">
        <v>1096</v>
      </c>
    </row>
    <row r="316" spans="1:18" ht="15.6">
      <c r="A316" s="1" t="s">
        <v>886</v>
      </c>
      <c r="B316" s="4">
        <v>45861</v>
      </c>
      <c r="C316" s="1" t="s">
        <v>694</v>
      </c>
      <c r="D316" s="1" t="s">
        <v>525</v>
      </c>
      <c r="E316" s="1">
        <v>62</v>
      </c>
      <c r="F316" s="2">
        <v>9842</v>
      </c>
      <c r="G316" s="2">
        <v>6927</v>
      </c>
      <c r="H316" s="1" t="s">
        <v>851</v>
      </c>
      <c r="I316" s="1" t="s">
        <v>533</v>
      </c>
      <c r="J316" s="2">
        <v>1252</v>
      </c>
      <c r="K316" s="1">
        <v>609</v>
      </c>
      <c r="L316" s="1" t="s">
        <v>522</v>
      </c>
      <c r="M316" s="2">
        <v>610204</v>
      </c>
      <c r="N316" s="2">
        <v>429474</v>
      </c>
      <c r="O316" s="2">
        <v>179478</v>
      </c>
      <c r="P316" s="3">
        <v>0.29412786543516595</v>
      </c>
      <c r="Q316">
        <v>7</v>
      </c>
      <c r="R316" t="s">
        <v>1100</v>
      </c>
    </row>
    <row r="317" spans="1:18" ht="15.6">
      <c r="A317" s="1" t="s">
        <v>887</v>
      </c>
      <c r="B317" s="4">
        <v>45768</v>
      </c>
      <c r="C317" s="1" t="s">
        <v>583</v>
      </c>
      <c r="D317" s="1" t="s">
        <v>529</v>
      </c>
      <c r="E317" s="1">
        <v>7</v>
      </c>
      <c r="F317" s="2">
        <v>16693</v>
      </c>
      <c r="G317" s="2">
        <v>10238</v>
      </c>
      <c r="H317" s="1" t="s">
        <v>851</v>
      </c>
      <c r="I317" s="1" t="s">
        <v>539</v>
      </c>
      <c r="J317" s="2">
        <v>22145</v>
      </c>
      <c r="K317" s="1">
        <v>454</v>
      </c>
      <c r="L317" s="1" t="s">
        <v>522</v>
      </c>
      <c r="M317" s="2">
        <v>116851</v>
      </c>
      <c r="N317" s="2">
        <v>71666</v>
      </c>
      <c r="O317" s="2">
        <v>23040</v>
      </c>
      <c r="P317" s="3">
        <v>0.19717417908276352</v>
      </c>
      <c r="Q317">
        <v>4</v>
      </c>
      <c r="R317" t="s">
        <v>1098</v>
      </c>
    </row>
    <row r="318" spans="1:18" ht="15.6">
      <c r="A318" s="1" t="s">
        <v>888</v>
      </c>
      <c r="B318" s="4">
        <v>45903</v>
      </c>
      <c r="C318" s="1" t="s">
        <v>571</v>
      </c>
      <c r="D318" s="1" t="s">
        <v>532</v>
      </c>
      <c r="E318" s="1">
        <v>80</v>
      </c>
      <c r="F318" s="2">
        <v>141232</v>
      </c>
      <c r="G318" s="2">
        <v>81274</v>
      </c>
      <c r="H318" s="1" t="s">
        <v>851</v>
      </c>
      <c r="I318" s="1" t="s">
        <v>521</v>
      </c>
      <c r="J318" s="2">
        <v>6894</v>
      </c>
      <c r="K318" s="1">
        <v>924</v>
      </c>
      <c r="L318" s="1" t="s">
        <v>522</v>
      </c>
      <c r="M318" s="2">
        <v>11298560</v>
      </c>
      <c r="N318" s="2">
        <v>6501920</v>
      </c>
      <c r="O318" s="2">
        <v>4789746</v>
      </c>
      <c r="P318" s="3">
        <v>0.42392534977908691</v>
      </c>
      <c r="Q318">
        <v>9</v>
      </c>
      <c r="R318" t="s">
        <v>1103</v>
      </c>
    </row>
    <row r="319" spans="1:18" ht="15.6">
      <c r="A319" s="1" t="s">
        <v>889</v>
      </c>
      <c r="B319" s="4">
        <v>45689</v>
      </c>
      <c r="C319" s="1" t="s">
        <v>694</v>
      </c>
      <c r="D319" s="1" t="s">
        <v>538</v>
      </c>
      <c r="E319" s="1">
        <v>67</v>
      </c>
      <c r="F319" s="2">
        <v>43663</v>
      </c>
      <c r="G319" s="2">
        <v>24332</v>
      </c>
      <c r="H319" s="1" t="s">
        <v>851</v>
      </c>
      <c r="I319" s="1" t="s">
        <v>539</v>
      </c>
      <c r="J319" s="2">
        <v>36529</v>
      </c>
      <c r="K319" s="1">
        <v>607</v>
      </c>
      <c r="L319" s="1" t="s">
        <v>522</v>
      </c>
      <c r="M319" s="2">
        <v>2925421</v>
      </c>
      <c r="N319" s="2">
        <v>1630244</v>
      </c>
      <c r="O319" s="2">
        <v>1258648</v>
      </c>
      <c r="P319" s="3">
        <v>0.43024508267357076</v>
      </c>
      <c r="Q319">
        <v>2</v>
      </c>
      <c r="R319" t="s">
        <v>1094</v>
      </c>
    </row>
    <row r="320" spans="1:18" ht="15.6">
      <c r="A320" s="1" t="s">
        <v>890</v>
      </c>
      <c r="B320" s="4">
        <v>45893</v>
      </c>
      <c r="C320" s="1" t="s">
        <v>574</v>
      </c>
      <c r="D320" s="1" t="s">
        <v>532</v>
      </c>
      <c r="E320" s="1">
        <v>44</v>
      </c>
      <c r="F320" s="2">
        <v>101959</v>
      </c>
      <c r="G320" s="2">
        <v>68622</v>
      </c>
      <c r="H320" s="1" t="s">
        <v>851</v>
      </c>
      <c r="I320" s="1" t="s">
        <v>544</v>
      </c>
      <c r="J320" s="2">
        <v>41605</v>
      </c>
      <c r="K320" s="1">
        <v>546</v>
      </c>
      <c r="L320" s="1" t="s">
        <v>522</v>
      </c>
      <c r="M320" s="2">
        <v>4486196</v>
      </c>
      <c r="N320" s="2">
        <v>3019368</v>
      </c>
      <c r="O320" s="2">
        <v>1425223</v>
      </c>
      <c r="P320" s="3">
        <v>0.31769075626655635</v>
      </c>
      <c r="Q320">
        <v>8</v>
      </c>
      <c r="R320" t="s">
        <v>1097</v>
      </c>
    </row>
    <row r="321" spans="1:18" ht="15.6">
      <c r="A321" s="1" t="s">
        <v>891</v>
      </c>
      <c r="B321" s="4">
        <v>45836</v>
      </c>
      <c r="C321" s="1" t="s">
        <v>537</v>
      </c>
      <c r="D321" s="1" t="s">
        <v>567</v>
      </c>
      <c r="E321" s="1">
        <v>36</v>
      </c>
      <c r="F321" s="2">
        <v>5750</v>
      </c>
      <c r="G321" s="2">
        <v>36757</v>
      </c>
      <c r="H321" s="1" t="s">
        <v>851</v>
      </c>
      <c r="I321" s="1" t="s">
        <v>539</v>
      </c>
      <c r="J321" s="2">
        <v>58746</v>
      </c>
      <c r="K321" s="1">
        <v>647</v>
      </c>
      <c r="L321" s="1" t="s">
        <v>522</v>
      </c>
      <c r="M321" s="2">
        <v>207000</v>
      </c>
      <c r="N321" s="2">
        <v>1323252</v>
      </c>
      <c r="O321" s="2">
        <v>-1174998</v>
      </c>
      <c r="P321" s="3">
        <v>-5.67631884057971</v>
      </c>
      <c r="Q321">
        <v>6</v>
      </c>
      <c r="R321" t="s">
        <v>1101</v>
      </c>
    </row>
    <row r="322" spans="1:18" ht="15.6">
      <c r="A322" s="1" t="s">
        <v>892</v>
      </c>
      <c r="B322" s="4">
        <v>45729</v>
      </c>
      <c r="C322" s="1" t="s">
        <v>589</v>
      </c>
      <c r="D322" s="1" t="s">
        <v>532</v>
      </c>
      <c r="E322" s="1">
        <v>63</v>
      </c>
      <c r="F322" s="2">
        <v>39656</v>
      </c>
      <c r="G322" s="2">
        <v>29484</v>
      </c>
      <c r="H322" s="1" t="s">
        <v>851</v>
      </c>
      <c r="I322" s="1" t="s">
        <v>533</v>
      </c>
      <c r="J322" s="2">
        <v>36437</v>
      </c>
      <c r="K322" s="1">
        <v>87</v>
      </c>
      <c r="L322" s="1" t="s">
        <v>522</v>
      </c>
      <c r="M322" s="2">
        <v>2498328</v>
      </c>
      <c r="N322" s="2">
        <v>1857492</v>
      </c>
      <c r="O322" s="2">
        <v>604399</v>
      </c>
      <c r="P322" s="3">
        <v>0.24192139703033388</v>
      </c>
      <c r="Q322">
        <v>3</v>
      </c>
      <c r="R322" t="s">
        <v>1104</v>
      </c>
    </row>
    <row r="323" spans="1:18" ht="15.6">
      <c r="A323" s="1" t="s">
        <v>893</v>
      </c>
      <c r="B323" s="4">
        <v>45664</v>
      </c>
      <c r="C323" s="1" t="s">
        <v>546</v>
      </c>
      <c r="D323" s="1" t="s">
        <v>532</v>
      </c>
      <c r="E323" s="1">
        <v>36</v>
      </c>
      <c r="F323" s="2">
        <v>100147</v>
      </c>
      <c r="G323" s="2">
        <v>54541</v>
      </c>
      <c r="H323" s="1" t="s">
        <v>851</v>
      </c>
      <c r="I323" s="1" t="s">
        <v>533</v>
      </c>
      <c r="J323" s="2">
        <v>5337</v>
      </c>
      <c r="K323" s="1">
        <v>905</v>
      </c>
      <c r="L323" s="1" t="s">
        <v>522</v>
      </c>
      <c r="M323" s="2">
        <v>3605292</v>
      </c>
      <c r="N323" s="2">
        <v>1963476</v>
      </c>
      <c r="O323" s="2">
        <v>1636479</v>
      </c>
      <c r="P323" s="3">
        <v>0.45391025192966339</v>
      </c>
      <c r="Q323">
        <v>1</v>
      </c>
      <c r="R323" t="s">
        <v>1096</v>
      </c>
    </row>
    <row r="324" spans="1:18" ht="15.6">
      <c r="A324" s="1" t="s">
        <v>894</v>
      </c>
      <c r="B324" s="4">
        <v>45928</v>
      </c>
      <c r="C324" s="1" t="s">
        <v>574</v>
      </c>
      <c r="D324" s="1" t="s">
        <v>543</v>
      </c>
      <c r="E324" s="1">
        <v>30</v>
      </c>
      <c r="F324" s="2">
        <v>44364</v>
      </c>
      <c r="G324" s="2">
        <v>32673</v>
      </c>
      <c r="H324" s="1" t="s">
        <v>851</v>
      </c>
      <c r="I324" s="1" t="s">
        <v>539</v>
      </c>
      <c r="J324" s="2">
        <v>21266</v>
      </c>
      <c r="K324" s="1">
        <v>912</v>
      </c>
      <c r="L324" s="1" t="s">
        <v>522</v>
      </c>
      <c r="M324" s="2">
        <v>1330920</v>
      </c>
      <c r="N324" s="2">
        <v>980190</v>
      </c>
      <c r="O324" s="2">
        <v>329464</v>
      </c>
      <c r="P324" s="3">
        <v>0.24754605836564181</v>
      </c>
      <c r="Q324">
        <v>9</v>
      </c>
      <c r="R324" t="s">
        <v>1103</v>
      </c>
    </row>
    <row r="325" spans="1:18" ht="15.6">
      <c r="A325" s="1" t="s">
        <v>895</v>
      </c>
      <c r="B325" s="4">
        <v>45879</v>
      </c>
      <c r="C325" s="1" t="s">
        <v>571</v>
      </c>
      <c r="D325" s="1" t="s">
        <v>556</v>
      </c>
      <c r="E325" s="1">
        <v>75</v>
      </c>
      <c r="F325" s="2">
        <v>121636</v>
      </c>
      <c r="G325" s="2">
        <v>58176</v>
      </c>
      <c r="H325" s="1" t="s">
        <v>851</v>
      </c>
      <c r="I325" s="1" t="s">
        <v>544</v>
      </c>
      <c r="J325" s="2">
        <v>52883</v>
      </c>
      <c r="K325" s="1">
        <v>807</v>
      </c>
      <c r="L325" s="1" t="s">
        <v>522</v>
      </c>
      <c r="M325" s="2">
        <v>9122700</v>
      </c>
      <c r="N325" s="2">
        <v>4363200</v>
      </c>
      <c r="O325" s="2">
        <v>4706617</v>
      </c>
      <c r="P325" s="3">
        <v>0.51592368487399565</v>
      </c>
      <c r="Q325">
        <v>8</v>
      </c>
      <c r="R325" t="s">
        <v>1097</v>
      </c>
    </row>
    <row r="326" spans="1:18" ht="15.6">
      <c r="A326" s="1" t="s">
        <v>896</v>
      </c>
      <c r="B326" s="4">
        <v>45796</v>
      </c>
      <c r="C326" s="1" t="s">
        <v>646</v>
      </c>
      <c r="D326" s="1" t="s">
        <v>538</v>
      </c>
      <c r="E326" s="1">
        <v>12</v>
      </c>
      <c r="F326" s="2">
        <v>40231</v>
      </c>
      <c r="G326" s="2">
        <v>24063</v>
      </c>
      <c r="H326" s="1" t="s">
        <v>851</v>
      </c>
      <c r="I326" s="1" t="s">
        <v>560</v>
      </c>
      <c r="J326" s="2">
        <v>29483</v>
      </c>
      <c r="K326" s="1">
        <v>463</v>
      </c>
      <c r="L326" s="1" t="s">
        <v>522</v>
      </c>
      <c r="M326" s="2">
        <v>482772</v>
      </c>
      <c r="N326" s="2">
        <v>288756</v>
      </c>
      <c r="O326" s="2">
        <v>164533</v>
      </c>
      <c r="P326" s="3">
        <v>0.34080891186729967</v>
      </c>
      <c r="Q326">
        <v>5</v>
      </c>
      <c r="R326" t="s">
        <v>1099</v>
      </c>
    </row>
    <row r="327" spans="1:18" ht="15.6">
      <c r="A327" s="1" t="s">
        <v>897</v>
      </c>
      <c r="B327" s="4">
        <v>45716</v>
      </c>
      <c r="C327" s="1" t="s">
        <v>574</v>
      </c>
      <c r="D327" s="1" t="s">
        <v>586</v>
      </c>
      <c r="E327" s="1">
        <v>26</v>
      </c>
      <c r="F327" s="2">
        <v>109863</v>
      </c>
      <c r="G327" s="2">
        <v>6922</v>
      </c>
      <c r="H327" s="1" t="s">
        <v>851</v>
      </c>
      <c r="I327" s="1" t="s">
        <v>560</v>
      </c>
      <c r="J327" s="2">
        <v>6615</v>
      </c>
      <c r="K327" s="1">
        <v>814</v>
      </c>
      <c r="L327" s="1" t="s">
        <v>522</v>
      </c>
      <c r="M327" s="2">
        <v>2856438</v>
      </c>
      <c r="N327" s="2">
        <v>179972</v>
      </c>
      <c r="O327" s="2">
        <v>2669851</v>
      </c>
      <c r="P327" s="3">
        <v>0.93467843516995641</v>
      </c>
      <c r="Q327">
        <v>2</v>
      </c>
      <c r="R327" t="s">
        <v>1094</v>
      </c>
    </row>
    <row r="328" spans="1:18" ht="15.6">
      <c r="A328" s="1" t="s">
        <v>898</v>
      </c>
      <c r="B328" s="4">
        <v>45936</v>
      </c>
      <c r="C328" s="1" t="s">
        <v>607</v>
      </c>
      <c r="D328" s="1" t="s">
        <v>563</v>
      </c>
      <c r="E328" s="1">
        <v>47</v>
      </c>
      <c r="F328" s="2">
        <v>128681</v>
      </c>
      <c r="G328" s="2">
        <v>9240</v>
      </c>
      <c r="H328" s="1" t="s">
        <v>851</v>
      </c>
      <c r="I328" s="1" t="s">
        <v>533</v>
      </c>
      <c r="J328" s="2">
        <v>11562</v>
      </c>
      <c r="K328" s="1">
        <v>574</v>
      </c>
      <c r="L328" s="1" t="s">
        <v>522</v>
      </c>
      <c r="M328" s="2">
        <v>6048007</v>
      </c>
      <c r="N328" s="2">
        <v>434280</v>
      </c>
      <c r="O328" s="2">
        <v>5602165</v>
      </c>
      <c r="P328" s="3">
        <v>0.92628282341604429</v>
      </c>
      <c r="Q328">
        <v>10</v>
      </c>
      <c r="R328" t="s">
        <v>1095</v>
      </c>
    </row>
    <row r="329" spans="1:18" ht="15.6">
      <c r="A329" s="1" t="s">
        <v>899</v>
      </c>
      <c r="B329" s="4">
        <v>45712</v>
      </c>
      <c r="C329" s="1" t="s">
        <v>546</v>
      </c>
      <c r="D329" s="1" t="s">
        <v>547</v>
      </c>
      <c r="E329" s="1">
        <v>34</v>
      </c>
      <c r="F329" s="2">
        <v>46184</v>
      </c>
      <c r="G329" s="2">
        <v>32165</v>
      </c>
      <c r="H329" s="1" t="s">
        <v>851</v>
      </c>
      <c r="I329" s="1" t="s">
        <v>560</v>
      </c>
      <c r="J329" s="2">
        <v>4626</v>
      </c>
      <c r="K329" s="1">
        <v>561</v>
      </c>
      <c r="L329" s="1" t="s">
        <v>522</v>
      </c>
      <c r="M329" s="2">
        <v>1570256</v>
      </c>
      <c r="N329" s="2">
        <v>1093610</v>
      </c>
      <c r="O329" s="2">
        <v>472020</v>
      </c>
      <c r="P329" s="3">
        <v>0.3006006663881558</v>
      </c>
      <c r="Q329">
        <v>2</v>
      </c>
      <c r="R329" t="s">
        <v>1094</v>
      </c>
    </row>
    <row r="330" spans="1:18" ht="15.6">
      <c r="A330" s="1" t="s">
        <v>900</v>
      </c>
      <c r="B330" s="4">
        <v>45763</v>
      </c>
      <c r="C330" s="1" t="s">
        <v>524</v>
      </c>
      <c r="D330" s="1" t="s">
        <v>563</v>
      </c>
      <c r="E330" s="1">
        <v>9</v>
      </c>
      <c r="F330" s="2">
        <v>107304</v>
      </c>
      <c r="G330" s="2">
        <v>76597</v>
      </c>
      <c r="H330" s="1" t="s">
        <v>851</v>
      </c>
      <c r="I330" s="1" t="s">
        <v>521</v>
      </c>
      <c r="J330" s="2">
        <v>26948</v>
      </c>
      <c r="K330" s="1">
        <v>549</v>
      </c>
      <c r="L330" s="1" t="s">
        <v>522</v>
      </c>
      <c r="M330" s="2">
        <v>965736</v>
      </c>
      <c r="N330" s="2">
        <v>689373</v>
      </c>
      <c r="O330" s="2">
        <v>249415</v>
      </c>
      <c r="P330" s="3">
        <v>0.25826416329100294</v>
      </c>
      <c r="Q330">
        <v>4</v>
      </c>
      <c r="R330" t="s">
        <v>1098</v>
      </c>
    </row>
    <row r="331" spans="1:18" ht="15.6">
      <c r="A331" s="1" t="s">
        <v>901</v>
      </c>
      <c r="B331" s="4">
        <v>45792</v>
      </c>
      <c r="C331" s="1" t="s">
        <v>671</v>
      </c>
      <c r="D331" s="1" t="s">
        <v>553</v>
      </c>
      <c r="E331" s="1">
        <v>63</v>
      </c>
      <c r="F331" s="2">
        <v>98767</v>
      </c>
      <c r="G331" s="2">
        <v>65276</v>
      </c>
      <c r="H331" s="1" t="s">
        <v>851</v>
      </c>
      <c r="I331" s="1" t="s">
        <v>539</v>
      </c>
      <c r="J331" s="2">
        <v>41679</v>
      </c>
      <c r="K331" s="1">
        <v>744</v>
      </c>
      <c r="L331" s="1" t="s">
        <v>522</v>
      </c>
      <c r="M331" s="2">
        <v>6222321</v>
      </c>
      <c r="N331" s="2">
        <v>4112388</v>
      </c>
      <c r="O331" s="2">
        <v>2068254</v>
      </c>
      <c r="P331" s="3">
        <v>0.3323926875517994</v>
      </c>
      <c r="Q331">
        <v>5</v>
      </c>
      <c r="R331" t="s">
        <v>1099</v>
      </c>
    </row>
    <row r="332" spans="1:18" ht="15.6">
      <c r="A332" s="1" t="s">
        <v>902</v>
      </c>
      <c r="B332" s="4">
        <v>45727</v>
      </c>
      <c r="C332" s="1" t="s">
        <v>604</v>
      </c>
      <c r="D332" s="1" t="s">
        <v>563</v>
      </c>
      <c r="E332" s="1">
        <v>53</v>
      </c>
      <c r="F332" s="2">
        <v>166028</v>
      </c>
      <c r="G332" s="2">
        <v>12909</v>
      </c>
      <c r="H332" s="1" t="s">
        <v>851</v>
      </c>
      <c r="I332" s="1" t="s">
        <v>521</v>
      </c>
      <c r="J332" s="2">
        <v>47086</v>
      </c>
      <c r="K332" s="1">
        <v>516</v>
      </c>
      <c r="L332" s="1" t="s">
        <v>522</v>
      </c>
      <c r="M332" s="2">
        <v>8799484</v>
      </c>
      <c r="N332" s="2">
        <v>684177</v>
      </c>
      <c r="O332" s="2">
        <v>8068221</v>
      </c>
      <c r="P332" s="3">
        <v>0.91689705896391194</v>
      </c>
      <c r="Q332">
        <v>3</v>
      </c>
      <c r="R332" t="s">
        <v>1104</v>
      </c>
    </row>
    <row r="333" spans="1:18" ht="15.6">
      <c r="A333" s="1" t="s">
        <v>903</v>
      </c>
      <c r="B333" s="4">
        <v>45891</v>
      </c>
      <c r="C333" s="1" t="s">
        <v>546</v>
      </c>
      <c r="D333" s="1" t="s">
        <v>559</v>
      </c>
      <c r="E333" s="1">
        <v>26</v>
      </c>
      <c r="F333" s="2">
        <v>179259</v>
      </c>
      <c r="G333" s="2">
        <v>134463</v>
      </c>
      <c r="H333" s="1" t="s">
        <v>851</v>
      </c>
      <c r="I333" s="1" t="s">
        <v>544</v>
      </c>
      <c r="J333" s="2">
        <v>14539</v>
      </c>
      <c r="K333" s="1">
        <v>916</v>
      </c>
      <c r="L333" s="1" t="s">
        <v>522</v>
      </c>
      <c r="M333" s="2">
        <v>4660734</v>
      </c>
      <c r="N333" s="2">
        <v>3496038</v>
      </c>
      <c r="O333" s="2">
        <v>1150157</v>
      </c>
      <c r="P333" s="3">
        <v>0.24677593700906339</v>
      </c>
      <c r="Q333">
        <v>8</v>
      </c>
      <c r="R333" t="s">
        <v>1097</v>
      </c>
    </row>
    <row r="334" spans="1:18" ht="15.6">
      <c r="A334" s="1" t="s">
        <v>904</v>
      </c>
      <c r="B334" s="4">
        <v>45705</v>
      </c>
      <c r="C334" s="1" t="s">
        <v>579</v>
      </c>
      <c r="D334" s="1" t="s">
        <v>529</v>
      </c>
      <c r="E334" s="1">
        <v>33</v>
      </c>
      <c r="F334" s="2">
        <v>22176</v>
      </c>
      <c r="G334" s="2">
        <v>14842</v>
      </c>
      <c r="H334" s="1" t="s">
        <v>851</v>
      </c>
      <c r="I334" s="1" t="s">
        <v>521</v>
      </c>
      <c r="J334" s="2">
        <v>8107</v>
      </c>
      <c r="K334" s="1">
        <v>763</v>
      </c>
      <c r="L334" s="1" t="s">
        <v>522</v>
      </c>
      <c r="M334" s="2">
        <v>731808</v>
      </c>
      <c r="N334" s="2">
        <v>489786</v>
      </c>
      <c r="O334" s="2">
        <v>233915</v>
      </c>
      <c r="P334" s="3">
        <v>0.31963985088985086</v>
      </c>
      <c r="Q334">
        <v>2</v>
      </c>
      <c r="R334" t="s">
        <v>1094</v>
      </c>
    </row>
    <row r="335" spans="1:18" ht="15.6">
      <c r="A335" s="1" t="s">
        <v>905</v>
      </c>
      <c r="B335" s="4">
        <v>45784</v>
      </c>
      <c r="C335" s="1" t="s">
        <v>524</v>
      </c>
      <c r="D335" s="1" t="s">
        <v>556</v>
      </c>
      <c r="E335" s="1">
        <v>11</v>
      </c>
      <c r="F335" s="2">
        <v>50685</v>
      </c>
      <c r="G335" s="2">
        <v>32861</v>
      </c>
      <c r="H335" s="1" t="s">
        <v>851</v>
      </c>
      <c r="I335" s="1" t="s">
        <v>560</v>
      </c>
      <c r="J335" s="2">
        <v>22095</v>
      </c>
      <c r="K335" s="1">
        <v>921</v>
      </c>
      <c r="L335" s="1" t="s">
        <v>522</v>
      </c>
      <c r="M335" s="2">
        <v>557535</v>
      </c>
      <c r="N335" s="2">
        <v>361471</v>
      </c>
      <c r="O335" s="2">
        <v>173969</v>
      </c>
      <c r="P335" s="3">
        <v>0.31203242845740625</v>
      </c>
      <c r="Q335">
        <v>5</v>
      </c>
      <c r="R335" t="s">
        <v>1099</v>
      </c>
    </row>
    <row r="336" spans="1:18" ht="15.6">
      <c r="A336" s="1" t="s">
        <v>906</v>
      </c>
      <c r="B336" s="4">
        <v>45995</v>
      </c>
      <c r="C336" s="1" t="s">
        <v>531</v>
      </c>
      <c r="D336" s="1" t="s">
        <v>584</v>
      </c>
      <c r="E336" s="1">
        <v>27</v>
      </c>
      <c r="F336" s="2">
        <v>97053</v>
      </c>
      <c r="G336" s="2">
        <v>59993</v>
      </c>
      <c r="H336" s="1" t="s">
        <v>851</v>
      </c>
      <c r="I336" s="1" t="s">
        <v>539</v>
      </c>
      <c r="J336" s="2">
        <v>22733</v>
      </c>
      <c r="K336" s="1">
        <v>477</v>
      </c>
      <c r="L336" s="1" t="s">
        <v>522</v>
      </c>
      <c r="M336" s="2">
        <v>2620431</v>
      </c>
      <c r="N336" s="2">
        <v>1619811</v>
      </c>
      <c r="O336" s="2">
        <v>977887</v>
      </c>
      <c r="P336" s="3">
        <v>0.37317792378429349</v>
      </c>
      <c r="Q336">
        <v>12</v>
      </c>
      <c r="R336" t="s">
        <v>1102</v>
      </c>
    </row>
    <row r="337" spans="1:18" ht="15.6">
      <c r="A337" s="1" t="s">
        <v>907</v>
      </c>
      <c r="B337" s="4">
        <v>45911</v>
      </c>
      <c r="C337" s="1" t="s">
        <v>551</v>
      </c>
      <c r="D337" s="1" t="s">
        <v>547</v>
      </c>
      <c r="E337" s="1">
        <v>31</v>
      </c>
      <c r="F337" s="2">
        <v>93928</v>
      </c>
      <c r="G337" s="2">
        <v>60677</v>
      </c>
      <c r="H337" s="1" t="s">
        <v>851</v>
      </c>
      <c r="I337" s="1" t="s">
        <v>533</v>
      </c>
      <c r="J337" s="2">
        <v>64213</v>
      </c>
      <c r="K337" s="1">
        <v>917</v>
      </c>
      <c r="L337" s="1" t="s">
        <v>522</v>
      </c>
      <c r="M337" s="2">
        <v>2911768</v>
      </c>
      <c r="N337" s="2">
        <v>1880987</v>
      </c>
      <c r="O337" s="2">
        <v>966568</v>
      </c>
      <c r="P337" s="3">
        <v>0.33195227092268342</v>
      </c>
      <c r="Q337">
        <v>9</v>
      </c>
      <c r="R337" t="s">
        <v>1103</v>
      </c>
    </row>
    <row r="338" spans="1:18" ht="15.6">
      <c r="A338" s="1" t="s">
        <v>908</v>
      </c>
      <c r="B338" s="4">
        <v>45737</v>
      </c>
      <c r="C338" s="1" t="s">
        <v>537</v>
      </c>
      <c r="D338" s="1" t="s">
        <v>529</v>
      </c>
      <c r="E338" s="1">
        <v>51</v>
      </c>
      <c r="F338" s="2">
        <v>108867</v>
      </c>
      <c r="G338" s="2">
        <v>7641</v>
      </c>
      <c r="H338" s="1" t="s">
        <v>851</v>
      </c>
      <c r="I338" s="1" t="s">
        <v>533</v>
      </c>
      <c r="J338" s="2">
        <v>2361</v>
      </c>
      <c r="K338" s="1">
        <v>669</v>
      </c>
      <c r="L338" s="1" t="s">
        <v>522</v>
      </c>
      <c r="M338" s="2">
        <v>5552217</v>
      </c>
      <c r="N338" s="2">
        <v>389691</v>
      </c>
      <c r="O338" s="2">
        <v>5160165</v>
      </c>
      <c r="P338" s="3">
        <v>0.92938820654884347</v>
      </c>
      <c r="Q338">
        <v>3</v>
      </c>
      <c r="R338" t="s">
        <v>1104</v>
      </c>
    </row>
    <row r="339" spans="1:18" ht="15.6">
      <c r="A339" s="1" t="s">
        <v>909</v>
      </c>
      <c r="B339" s="4">
        <v>45788</v>
      </c>
      <c r="C339" s="1" t="s">
        <v>604</v>
      </c>
      <c r="D339" s="1" t="s">
        <v>547</v>
      </c>
      <c r="E339" s="1">
        <v>74</v>
      </c>
      <c r="F339" s="2">
        <v>123949</v>
      </c>
      <c r="G339" s="2">
        <v>60495</v>
      </c>
      <c r="H339" s="1" t="s">
        <v>851</v>
      </c>
      <c r="I339" s="1" t="s">
        <v>560</v>
      </c>
      <c r="J339" s="2">
        <v>5154</v>
      </c>
      <c r="K339" s="1">
        <v>879</v>
      </c>
      <c r="L339" s="1" t="s">
        <v>522</v>
      </c>
      <c r="M339" s="2">
        <v>9172226</v>
      </c>
      <c r="N339" s="2">
        <v>4476630</v>
      </c>
      <c r="O339" s="2">
        <v>4690442</v>
      </c>
      <c r="P339" s="3">
        <v>0.51137444716255354</v>
      </c>
      <c r="Q339">
        <v>5</v>
      </c>
      <c r="R339" t="s">
        <v>1099</v>
      </c>
    </row>
    <row r="340" spans="1:18" ht="15.6">
      <c r="A340" s="1" t="s">
        <v>910</v>
      </c>
      <c r="B340" s="4">
        <v>45825</v>
      </c>
      <c r="C340" s="1" t="s">
        <v>535</v>
      </c>
      <c r="D340" s="1" t="s">
        <v>532</v>
      </c>
      <c r="E340" s="1">
        <v>59</v>
      </c>
      <c r="F340" s="2">
        <v>9371</v>
      </c>
      <c r="G340" s="2">
        <v>4838</v>
      </c>
      <c r="H340" s="1" t="s">
        <v>851</v>
      </c>
      <c r="I340" s="1" t="s">
        <v>544</v>
      </c>
      <c r="J340" s="2">
        <v>49375</v>
      </c>
      <c r="K340" s="1">
        <v>571</v>
      </c>
      <c r="L340" s="1" t="s">
        <v>522</v>
      </c>
      <c r="M340" s="2">
        <v>552889</v>
      </c>
      <c r="N340" s="2">
        <v>285442</v>
      </c>
      <c r="O340" s="2">
        <v>218072</v>
      </c>
      <c r="P340" s="3">
        <v>0.39442275031697138</v>
      </c>
      <c r="Q340">
        <v>6</v>
      </c>
      <c r="R340" t="s">
        <v>1101</v>
      </c>
    </row>
    <row r="341" spans="1:18" ht="15.6">
      <c r="A341" s="1" t="s">
        <v>911</v>
      </c>
      <c r="B341" s="4">
        <v>45935</v>
      </c>
      <c r="C341" s="1" t="s">
        <v>600</v>
      </c>
      <c r="D341" s="1" t="s">
        <v>556</v>
      </c>
      <c r="E341" s="1">
        <v>2</v>
      </c>
      <c r="F341" s="2">
        <v>17157</v>
      </c>
      <c r="G341" s="2">
        <v>77289</v>
      </c>
      <c r="H341" s="1" t="s">
        <v>851</v>
      </c>
      <c r="I341" s="1" t="s">
        <v>539</v>
      </c>
      <c r="J341" s="2">
        <v>5594</v>
      </c>
      <c r="K341" s="1">
        <v>814</v>
      </c>
      <c r="L341" s="1" t="s">
        <v>522</v>
      </c>
      <c r="M341" s="2">
        <v>34314</v>
      </c>
      <c r="N341" s="2">
        <v>154578</v>
      </c>
      <c r="O341" s="2">
        <v>-125858</v>
      </c>
      <c r="P341" s="3">
        <v>-3.6678323716267411</v>
      </c>
      <c r="Q341">
        <v>10</v>
      </c>
      <c r="R341" t="s">
        <v>1095</v>
      </c>
    </row>
    <row r="342" spans="1:18" ht="15.6">
      <c r="A342" s="1" t="s">
        <v>912</v>
      </c>
      <c r="B342" s="4">
        <v>45737</v>
      </c>
      <c r="C342" s="1" t="s">
        <v>646</v>
      </c>
      <c r="D342" s="1" t="s">
        <v>538</v>
      </c>
      <c r="E342" s="1">
        <v>58</v>
      </c>
      <c r="F342" s="2">
        <v>88161</v>
      </c>
      <c r="G342" s="2">
        <v>51499</v>
      </c>
      <c r="H342" s="1" t="s">
        <v>851</v>
      </c>
      <c r="I342" s="1" t="s">
        <v>544</v>
      </c>
      <c r="J342" s="2">
        <v>62878</v>
      </c>
      <c r="K342" s="1">
        <v>554</v>
      </c>
      <c r="L342" s="1" t="s">
        <v>522</v>
      </c>
      <c r="M342" s="2">
        <v>5113338</v>
      </c>
      <c r="N342" s="2">
        <v>2986942</v>
      </c>
      <c r="O342" s="2">
        <v>2063518</v>
      </c>
      <c r="P342" s="3">
        <v>0.40355595503367858</v>
      </c>
      <c r="Q342">
        <v>3</v>
      </c>
      <c r="R342" t="s">
        <v>1104</v>
      </c>
    </row>
    <row r="343" spans="1:18" ht="15.6">
      <c r="A343" s="1" t="s">
        <v>913</v>
      </c>
      <c r="B343" s="4">
        <v>45689</v>
      </c>
      <c r="C343" s="1" t="s">
        <v>535</v>
      </c>
      <c r="D343" s="1" t="s">
        <v>584</v>
      </c>
      <c r="E343" s="1">
        <v>50</v>
      </c>
      <c r="F343" s="2">
        <v>31605</v>
      </c>
      <c r="G343" s="2">
        <v>16303</v>
      </c>
      <c r="H343" s="1" t="s">
        <v>851</v>
      </c>
      <c r="I343" s="1" t="s">
        <v>521</v>
      </c>
      <c r="J343" s="2">
        <v>42845</v>
      </c>
      <c r="K343" s="1">
        <v>851</v>
      </c>
      <c r="L343" s="1" t="s">
        <v>522</v>
      </c>
      <c r="M343" s="2">
        <v>1580250</v>
      </c>
      <c r="N343" s="2">
        <v>815150</v>
      </c>
      <c r="O343" s="2">
        <v>722255</v>
      </c>
      <c r="P343" s="3">
        <v>0.45705109950957129</v>
      </c>
      <c r="Q343">
        <v>2</v>
      </c>
      <c r="R343" t="s">
        <v>1094</v>
      </c>
    </row>
    <row r="344" spans="1:18" ht="15.6">
      <c r="A344" s="1" t="s">
        <v>914</v>
      </c>
      <c r="B344" s="4">
        <v>45856</v>
      </c>
      <c r="C344" s="1" t="s">
        <v>600</v>
      </c>
      <c r="D344" s="1" t="s">
        <v>567</v>
      </c>
      <c r="E344" s="1">
        <v>23</v>
      </c>
      <c r="F344" s="2">
        <v>38289</v>
      </c>
      <c r="G344" s="2">
        <v>24717</v>
      </c>
      <c r="H344" s="1" t="s">
        <v>851</v>
      </c>
      <c r="I344" s="1" t="s">
        <v>544</v>
      </c>
      <c r="J344" s="2">
        <v>59839</v>
      </c>
      <c r="K344" s="1">
        <v>464</v>
      </c>
      <c r="L344" s="1" t="s">
        <v>522</v>
      </c>
      <c r="M344" s="2">
        <v>880647</v>
      </c>
      <c r="N344" s="2">
        <v>568491</v>
      </c>
      <c r="O344" s="2">
        <v>252317</v>
      </c>
      <c r="P344" s="3">
        <v>0.28651321130941226</v>
      </c>
      <c r="Q344">
        <v>7</v>
      </c>
      <c r="R344" t="s">
        <v>1100</v>
      </c>
    </row>
    <row r="345" spans="1:18" ht="15.6">
      <c r="A345" s="1" t="s">
        <v>915</v>
      </c>
      <c r="B345" s="4">
        <v>45915</v>
      </c>
      <c r="C345" s="1" t="s">
        <v>583</v>
      </c>
      <c r="D345" s="1" t="s">
        <v>567</v>
      </c>
      <c r="E345" s="1">
        <v>67</v>
      </c>
      <c r="F345" s="2">
        <v>145677</v>
      </c>
      <c r="G345" s="2">
        <v>98126</v>
      </c>
      <c r="H345" s="1" t="s">
        <v>851</v>
      </c>
      <c r="I345" s="1" t="s">
        <v>521</v>
      </c>
      <c r="J345" s="2">
        <v>12217</v>
      </c>
      <c r="K345" s="1">
        <v>829</v>
      </c>
      <c r="L345" s="1" t="s">
        <v>522</v>
      </c>
      <c r="M345" s="2">
        <v>9760359</v>
      </c>
      <c r="N345" s="2">
        <v>6574442</v>
      </c>
      <c r="O345" s="2">
        <v>3173700</v>
      </c>
      <c r="P345" s="3">
        <v>0.32516221995522909</v>
      </c>
      <c r="Q345">
        <v>9</v>
      </c>
      <c r="R345" t="s">
        <v>1103</v>
      </c>
    </row>
    <row r="346" spans="1:18" ht="15.6">
      <c r="A346" s="1" t="s">
        <v>916</v>
      </c>
      <c r="B346" s="4">
        <v>45743</v>
      </c>
      <c r="C346" s="1" t="s">
        <v>541</v>
      </c>
      <c r="D346" s="1" t="s">
        <v>563</v>
      </c>
      <c r="E346" s="1">
        <v>25</v>
      </c>
      <c r="F346" s="2">
        <v>29704</v>
      </c>
      <c r="G346" s="2">
        <v>17517</v>
      </c>
      <c r="H346" s="1" t="s">
        <v>851</v>
      </c>
      <c r="I346" s="1" t="s">
        <v>539</v>
      </c>
      <c r="J346" s="2">
        <v>17115</v>
      </c>
      <c r="K346" s="1">
        <v>861</v>
      </c>
      <c r="L346" s="1" t="s">
        <v>522</v>
      </c>
      <c r="M346" s="2">
        <v>742600</v>
      </c>
      <c r="N346" s="2">
        <v>437925</v>
      </c>
      <c r="O346" s="2">
        <v>287560</v>
      </c>
      <c r="P346" s="3">
        <v>0.38723404255319149</v>
      </c>
      <c r="Q346">
        <v>3</v>
      </c>
      <c r="R346" t="s">
        <v>1104</v>
      </c>
    </row>
    <row r="347" spans="1:18" ht="15.6">
      <c r="A347" s="1" t="s">
        <v>917</v>
      </c>
      <c r="B347" s="4">
        <v>45962</v>
      </c>
      <c r="C347" s="1" t="s">
        <v>524</v>
      </c>
      <c r="D347" s="1" t="s">
        <v>529</v>
      </c>
      <c r="E347" s="1">
        <v>9</v>
      </c>
      <c r="F347" s="2">
        <v>22969</v>
      </c>
      <c r="G347" s="2">
        <v>14553</v>
      </c>
      <c r="H347" s="1" t="s">
        <v>851</v>
      </c>
      <c r="I347" s="1" t="s">
        <v>544</v>
      </c>
      <c r="J347" s="2">
        <v>56397</v>
      </c>
      <c r="K347" s="1">
        <v>71</v>
      </c>
      <c r="L347" s="1" t="s">
        <v>522</v>
      </c>
      <c r="M347" s="2">
        <v>206721</v>
      </c>
      <c r="N347" s="2">
        <v>130977</v>
      </c>
      <c r="O347" s="2">
        <v>19347</v>
      </c>
      <c r="P347" s="3">
        <v>9.3589911039517026E-2</v>
      </c>
      <c r="Q347">
        <v>11</v>
      </c>
      <c r="R347" t="s">
        <v>1105</v>
      </c>
    </row>
    <row r="348" spans="1:18" ht="15.6">
      <c r="A348" s="1" t="s">
        <v>918</v>
      </c>
      <c r="B348" s="4">
        <v>45969</v>
      </c>
      <c r="C348" s="1" t="s">
        <v>549</v>
      </c>
      <c r="D348" s="1" t="s">
        <v>543</v>
      </c>
      <c r="E348" s="1">
        <v>23</v>
      </c>
      <c r="F348" s="2">
        <v>55371</v>
      </c>
      <c r="G348" s="2">
        <v>27545</v>
      </c>
      <c r="H348" s="1" t="s">
        <v>851</v>
      </c>
      <c r="I348" s="1" t="s">
        <v>539</v>
      </c>
      <c r="J348" s="2">
        <v>7327</v>
      </c>
      <c r="K348" s="1">
        <v>895</v>
      </c>
      <c r="L348" s="1" t="s">
        <v>522</v>
      </c>
      <c r="M348" s="2">
        <v>1273533</v>
      </c>
      <c r="N348" s="2">
        <v>633535</v>
      </c>
      <c r="O348" s="2">
        <v>632671</v>
      </c>
      <c r="P348" s="3">
        <v>0.49678414301003587</v>
      </c>
      <c r="Q348">
        <v>11</v>
      </c>
      <c r="R348" t="s">
        <v>1105</v>
      </c>
    </row>
    <row r="349" spans="1:18" ht="15.6">
      <c r="A349" s="1" t="s">
        <v>919</v>
      </c>
      <c r="B349" s="4">
        <v>45958</v>
      </c>
      <c r="C349" s="1" t="s">
        <v>537</v>
      </c>
      <c r="D349" s="1" t="s">
        <v>529</v>
      </c>
      <c r="E349" s="1">
        <v>45</v>
      </c>
      <c r="F349" s="2">
        <v>36124</v>
      </c>
      <c r="G349" s="2">
        <v>26919</v>
      </c>
      <c r="H349" s="1" t="s">
        <v>851</v>
      </c>
      <c r="I349" s="1" t="s">
        <v>533</v>
      </c>
      <c r="J349" s="2">
        <v>22104</v>
      </c>
      <c r="K349" s="1">
        <v>643</v>
      </c>
      <c r="L349" s="1" t="s">
        <v>522</v>
      </c>
      <c r="M349" s="2">
        <v>1625580</v>
      </c>
      <c r="N349" s="2">
        <v>1211355</v>
      </c>
      <c r="O349" s="2">
        <v>392121</v>
      </c>
      <c r="P349" s="3">
        <v>0.24121913409367735</v>
      </c>
      <c r="Q349">
        <v>10</v>
      </c>
      <c r="R349" t="s">
        <v>1095</v>
      </c>
    </row>
    <row r="350" spans="1:18" ht="15.6">
      <c r="A350" s="1" t="s">
        <v>920</v>
      </c>
      <c r="B350" s="4">
        <v>45799</v>
      </c>
      <c r="C350" s="1" t="s">
        <v>579</v>
      </c>
      <c r="D350" s="1" t="s">
        <v>529</v>
      </c>
      <c r="E350" s="1">
        <v>36</v>
      </c>
      <c r="F350" s="2">
        <v>52917</v>
      </c>
      <c r="G350" s="2">
        <v>3623</v>
      </c>
      <c r="H350" s="1" t="s">
        <v>851</v>
      </c>
      <c r="I350" s="1" t="s">
        <v>544</v>
      </c>
      <c r="J350" s="2">
        <v>16302</v>
      </c>
      <c r="K350" s="1">
        <v>709</v>
      </c>
      <c r="L350" s="1" t="s">
        <v>522</v>
      </c>
      <c r="M350" s="2">
        <v>1905012</v>
      </c>
      <c r="N350" s="2">
        <v>130428</v>
      </c>
      <c r="O350" s="2">
        <v>1758282</v>
      </c>
      <c r="P350" s="3">
        <v>0.92297686313786997</v>
      </c>
      <c r="Q350">
        <v>5</v>
      </c>
      <c r="R350" t="s">
        <v>1099</v>
      </c>
    </row>
    <row r="351" spans="1:18" ht="15.6">
      <c r="A351" s="1" t="s">
        <v>921</v>
      </c>
      <c r="B351" s="4">
        <v>45984</v>
      </c>
      <c r="C351" s="1" t="s">
        <v>595</v>
      </c>
      <c r="D351" s="1" t="s">
        <v>569</v>
      </c>
      <c r="E351" s="1">
        <v>46</v>
      </c>
      <c r="F351" s="2">
        <v>95258</v>
      </c>
      <c r="G351" s="2">
        <v>69442</v>
      </c>
      <c r="H351" s="1" t="s">
        <v>851</v>
      </c>
      <c r="I351" s="1" t="s">
        <v>560</v>
      </c>
      <c r="J351" s="2">
        <v>15868</v>
      </c>
      <c r="K351" s="1">
        <v>499</v>
      </c>
      <c r="L351" s="1" t="s">
        <v>522</v>
      </c>
      <c r="M351" s="2">
        <v>4381868</v>
      </c>
      <c r="N351" s="2">
        <v>3194332</v>
      </c>
      <c r="O351" s="2">
        <v>1171668</v>
      </c>
      <c r="P351" s="3">
        <v>0.26739007199669185</v>
      </c>
      <c r="Q351">
        <v>11</v>
      </c>
      <c r="R351" t="s">
        <v>1105</v>
      </c>
    </row>
    <row r="352" spans="1:18" ht="15.6">
      <c r="A352" s="1" t="s">
        <v>922</v>
      </c>
      <c r="B352" s="4">
        <v>45790</v>
      </c>
      <c r="C352" s="1" t="s">
        <v>589</v>
      </c>
      <c r="D352" s="1" t="s">
        <v>563</v>
      </c>
      <c r="E352" s="1">
        <v>72</v>
      </c>
      <c r="F352" s="2">
        <v>139222</v>
      </c>
      <c r="G352" s="2">
        <v>71061</v>
      </c>
      <c r="H352" s="1" t="s">
        <v>851</v>
      </c>
      <c r="I352" s="1" t="s">
        <v>544</v>
      </c>
      <c r="J352" s="2">
        <v>44266</v>
      </c>
      <c r="K352" s="1">
        <v>561</v>
      </c>
      <c r="L352" s="1" t="s">
        <v>522</v>
      </c>
      <c r="M352" s="2">
        <v>10023984</v>
      </c>
      <c r="N352" s="2">
        <v>5116392</v>
      </c>
      <c r="O352" s="2">
        <v>4863326</v>
      </c>
      <c r="P352" s="3">
        <v>0.4851689707405758</v>
      </c>
      <c r="Q352">
        <v>5</v>
      </c>
      <c r="R352" t="s">
        <v>1099</v>
      </c>
    </row>
    <row r="353" spans="1:18" ht="15.6">
      <c r="A353" s="1" t="s">
        <v>923</v>
      </c>
      <c r="B353" s="4">
        <v>45955</v>
      </c>
      <c r="C353" s="1" t="s">
        <v>528</v>
      </c>
      <c r="D353" s="1" t="s">
        <v>547</v>
      </c>
      <c r="E353" s="1">
        <v>61</v>
      </c>
      <c r="F353" s="2">
        <v>160981</v>
      </c>
      <c r="G353" s="2">
        <v>99029</v>
      </c>
      <c r="H353" s="1" t="s">
        <v>851</v>
      </c>
      <c r="I353" s="1" t="s">
        <v>539</v>
      </c>
      <c r="J353" s="2">
        <v>3679</v>
      </c>
      <c r="K353" s="1">
        <v>657</v>
      </c>
      <c r="L353" s="1" t="s">
        <v>522</v>
      </c>
      <c r="M353" s="2">
        <v>9819841</v>
      </c>
      <c r="N353" s="2">
        <v>6040769</v>
      </c>
      <c r="O353" s="2">
        <v>3775393</v>
      </c>
      <c r="P353" s="3">
        <v>0.3844657973586334</v>
      </c>
      <c r="Q353">
        <v>10</v>
      </c>
      <c r="R353" t="s">
        <v>1095</v>
      </c>
    </row>
    <row r="354" spans="1:18" ht="15.6">
      <c r="A354" s="1" t="s">
        <v>924</v>
      </c>
      <c r="B354" s="4">
        <v>45677</v>
      </c>
      <c r="C354" s="1" t="s">
        <v>537</v>
      </c>
      <c r="D354" s="1" t="s">
        <v>519</v>
      </c>
      <c r="E354" s="1">
        <v>48</v>
      </c>
      <c r="F354" s="2">
        <v>171412</v>
      </c>
      <c r="G354" s="2">
        <v>127593</v>
      </c>
      <c r="H354" s="1" t="s">
        <v>851</v>
      </c>
      <c r="I354" s="1" t="s">
        <v>521</v>
      </c>
      <c r="J354" s="2">
        <v>6075</v>
      </c>
      <c r="K354" s="1">
        <v>452</v>
      </c>
      <c r="L354" s="1" t="s">
        <v>522</v>
      </c>
      <c r="M354" s="2">
        <v>8227776</v>
      </c>
      <c r="N354" s="2">
        <v>6124464</v>
      </c>
      <c r="O354" s="2">
        <v>2097237</v>
      </c>
      <c r="P354" s="3">
        <v>0.2548971921452407</v>
      </c>
      <c r="Q354">
        <v>1</v>
      </c>
      <c r="R354" t="s">
        <v>1096</v>
      </c>
    </row>
    <row r="355" spans="1:18" ht="15.6">
      <c r="A355" s="1" t="s">
        <v>925</v>
      </c>
      <c r="B355" s="4">
        <v>45773</v>
      </c>
      <c r="C355" s="1" t="s">
        <v>694</v>
      </c>
      <c r="D355" s="1" t="s">
        <v>567</v>
      </c>
      <c r="E355" s="1">
        <v>45</v>
      </c>
      <c r="F355" s="2">
        <v>6168</v>
      </c>
      <c r="G355" s="2">
        <v>29847</v>
      </c>
      <c r="H355" s="1" t="s">
        <v>851</v>
      </c>
      <c r="I355" s="1" t="s">
        <v>560</v>
      </c>
      <c r="J355" s="2">
        <v>23367</v>
      </c>
      <c r="K355" s="1">
        <v>483</v>
      </c>
      <c r="L355" s="1" t="s">
        <v>522</v>
      </c>
      <c r="M355" s="2">
        <v>277560</v>
      </c>
      <c r="N355" s="2">
        <v>1343115</v>
      </c>
      <c r="O355" s="2">
        <v>-1088922</v>
      </c>
      <c r="P355" s="3">
        <v>-3.9231949848681364</v>
      </c>
      <c r="Q355">
        <v>4</v>
      </c>
      <c r="R355" t="s">
        <v>1098</v>
      </c>
    </row>
    <row r="356" spans="1:18" ht="15.6">
      <c r="A356" s="1" t="s">
        <v>926</v>
      </c>
      <c r="B356" s="4">
        <v>45810</v>
      </c>
      <c r="C356" s="1" t="s">
        <v>636</v>
      </c>
      <c r="D356" s="1" t="s">
        <v>569</v>
      </c>
      <c r="E356" s="1">
        <v>67</v>
      </c>
      <c r="F356" s="2">
        <v>110576</v>
      </c>
      <c r="G356" s="2">
        <v>62087</v>
      </c>
      <c r="H356" s="1" t="s">
        <v>851</v>
      </c>
      <c r="I356" s="1" t="s">
        <v>521</v>
      </c>
      <c r="J356" s="2">
        <v>25564</v>
      </c>
      <c r="K356" s="1">
        <v>901</v>
      </c>
      <c r="L356" s="1" t="s">
        <v>522</v>
      </c>
      <c r="M356" s="2">
        <v>7408592</v>
      </c>
      <c r="N356" s="2">
        <v>4159829</v>
      </c>
      <c r="O356" s="2">
        <v>3223199</v>
      </c>
      <c r="P356" s="3">
        <v>0.43506228983860901</v>
      </c>
      <c r="Q356">
        <v>6</v>
      </c>
      <c r="R356" t="s">
        <v>1101</v>
      </c>
    </row>
    <row r="357" spans="1:18" ht="15.6">
      <c r="A357" s="1" t="s">
        <v>927</v>
      </c>
      <c r="B357" s="4">
        <v>45721</v>
      </c>
      <c r="C357" s="1" t="s">
        <v>600</v>
      </c>
      <c r="D357" s="1" t="s">
        <v>525</v>
      </c>
      <c r="E357" s="1">
        <v>5</v>
      </c>
      <c r="F357" s="2">
        <v>72533</v>
      </c>
      <c r="G357" s="2">
        <v>47967</v>
      </c>
      <c r="H357" s="1" t="s">
        <v>851</v>
      </c>
      <c r="I357" s="1" t="s">
        <v>560</v>
      </c>
      <c r="J357" s="2">
        <v>7915</v>
      </c>
      <c r="K357" s="1">
        <v>947</v>
      </c>
      <c r="L357" s="1" t="s">
        <v>522</v>
      </c>
      <c r="M357" s="2">
        <v>362665</v>
      </c>
      <c r="N357" s="2">
        <v>239835</v>
      </c>
      <c r="O357" s="2">
        <v>114915</v>
      </c>
      <c r="P357" s="3">
        <v>0.31686266940564983</v>
      </c>
      <c r="Q357">
        <v>3</v>
      </c>
      <c r="R357" t="s">
        <v>1104</v>
      </c>
    </row>
    <row r="358" spans="1:18" ht="15.6">
      <c r="A358" s="1" t="s">
        <v>928</v>
      </c>
      <c r="B358" s="4">
        <v>45763</v>
      </c>
      <c r="C358" s="1" t="s">
        <v>694</v>
      </c>
      <c r="D358" s="1" t="s">
        <v>556</v>
      </c>
      <c r="E358" s="1">
        <v>2</v>
      </c>
      <c r="F358" s="2">
        <v>59792</v>
      </c>
      <c r="G358" s="2">
        <v>39962</v>
      </c>
      <c r="H358" s="1" t="s">
        <v>851</v>
      </c>
      <c r="I358" s="1" t="s">
        <v>560</v>
      </c>
      <c r="J358" s="2">
        <v>21199</v>
      </c>
      <c r="K358" s="1">
        <v>753</v>
      </c>
      <c r="L358" s="1" t="s">
        <v>522</v>
      </c>
      <c r="M358" s="2">
        <v>119584</v>
      </c>
      <c r="N358" s="2">
        <v>79924</v>
      </c>
      <c r="O358" s="2">
        <v>18461</v>
      </c>
      <c r="P358" s="3">
        <v>0.15437683971099814</v>
      </c>
      <c r="Q358">
        <v>4</v>
      </c>
      <c r="R358" t="s">
        <v>1098</v>
      </c>
    </row>
    <row r="359" spans="1:18" ht="15.6">
      <c r="A359" s="1" t="s">
        <v>929</v>
      </c>
      <c r="B359" s="4">
        <v>45662</v>
      </c>
      <c r="C359" s="1" t="s">
        <v>518</v>
      </c>
      <c r="D359" s="1" t="s">
        <v>538</v>
      </c>
      <c r="E359" s="1">
        <v>22</v>
      </c>
      <c r="F359" s="2">
        <v>6453</v>
      </c>
      <c r="G359" s="2">
        <v>48087</v>
      </c>
      <c r="H359" s="1" t="s">
        <v>851</v>
      </c>
      <c r="I359" s="1" t="s">
        <v>544</v>
      </c>
      <c r="J359" s="2">
        <v>57709</v>
      </c>
      <c r="K359" s="1">
        <v>496</v>
      </c>
      <c r="L359" s="1" t="s">
        <v>522</v>
      </c>
      <c r="M359" s="2">
        <v>141966</v>
      </c>
      <c r="N359" s="2">
        <v>1057914</v>
      </c>
      <c r="O359" s="2">
        <v>-973657</v>
      </c>
      <c r="P359" s="3">
        <v>-6.8583815843230065</v>
      </c>
      <c r="Q359">
        <v>1</v>
      </c>
      <c r="R359" t="s">
        <v>1096</v>
      </c>
    </row>
    <row r="360" spans="1:18" ht="15.6">
      <c r="A360" s="1" t="s">
        <v>930</v>
      </c>
      <c r="B360" s="4">
        <v>46012</v>
      </c>
      <c r="C360" s="1" t="s">
        <v>671</v>
      </c>
      <c r="D360" s="1" t="s">
        <v>543</v>
      </c>
      <c r="E360" s="1">
        <v>49</v>
      </c>
      <c r="F360" s="2">
        <v>74659</v>
      </c>
      <c r="G360" s="2">
        <v>57167</v>
      </c>
      <c r="H360" s="1" t="s">
        <v>851</v>
      </c>
      <c r="I360" s="1" t="s">
        <v>544</v>
      </c>
      <c r="J360" s="2">
        <v>6295</v>
      </c>
      <c r="K360" s="1">
        <v>477</v>
      </c>
      <c r="L360" s="1" t="s">
        <v>522</v>
      </c>
      <c r="M360" s="2">
        <v>3658291</v>
      </c>
      <c r="N360" s="2">
        <v>2801183</v>
      </c>
      <c r="O360" s="2">
        <v>850813</v>
      </c>
      <c r="P360" s="3">
        <v>0.23257116506040662</v>
      </c>
      <c r="Q360">
        <v>12</v>
      </c>
      <c r="R360" t="s">
        <v>1102</v>
      </c>
    </row>
    <row r="361" spans="1:18" ht="15.6">
      <c r="A361" s="1" t="s">
        <v>931</v>
      </c>
      <c r="B361" s="4">
        <v>45849</v>
      </c>
      <c r="C361" s="1" t="s">
        <v>555</v>
      </c>
      <c r="D361" s="1" t="s">
        <v>563</v>
      </c>
      <c r="E361" s="1">
        <v>66</v>
      </c>
      <c r="F361" s="2">
        <v>84636</v>
      </c>
      <c r="G361" s="2">
        <v>39311</v>
      </c>
      <c r="H361" s="1" t="s">
        <v>851</v>
      </c>
      <c r="I361" s="1" t="s">
        <v>521</v>
      </c>
      <c r="J361" s="2">
        <v>0</v>
      </c>
      <c r="K361" s="1">
        <v>491</v>
      </c>
      <c r="L361" s="1" t="s">
        <v>522</v>
      </c>
      <c r="M361" s="2">
        <v>5585976</v>
      </c>
      <c r="N361" s="2">
        <v>2594526</v>
      </c>
      <c r="O361" s="2">
        <v>2991450</v>
      </c>
      <c r="P361" s="3">
        <v>0.53552861666430362</v>
      </c>
      <c r="Q361">
        <v>7</v>
      </c>
      <c r="R361" t="s">
        <v>1100</v>
      </c>
    </row>
    <row r="362" spans="1:18" ht="15.6">
      <c r="A362" s="1" t="s">
        <v>932</v>
      </c>
      <c r="B362" s="4">
        <v>45743</v>
      </c>
      <c r="C362" s="1" t="s">
        <v>604</v>
      </c>
      <c r="D362" s="1" t="s">
        <v>532</v>
      </c>
      <c r="E362" s="1">
        <v>69</v>
      </c>
      <c r="F362" s="2">
        <v>9261</v>
      </c>
      <c r="G362" s="2">
        <v>4368</v>
      </c>
      <c r="H362" s="1" t="s">
        <v>851</v>
      </c>
      <c r="I362" s="1" t="s">
        <v>521</v>
      </c>
      <c r="J362" s="2">
        <v>56897</v>
      </c>
      <c r="K362" s="1">
        <v>662</v>
      </c>
      <c r="L362" s="1" t="s">
        <v>522</v>
      </c>
      <c r="M362" s="2">
        <v>639009</v>
      </c>
      <c r="N362" s="2">
        <v>301392</v>
      </c>
      <c r="O362" s="2">
        <v>280720</v>
      </c>
      <c r="P362" s="3">
        <v>0.43930523670245647</v>
      </c>
      <c r="Q362">
        <v>3</v>
      </c>
      <c r="R362" t="s">
        <v>1104</v>
      </c>
    </row>
    <row r="363" spans="1:18" ht="15.6">
      <c r="A363" s="1" t="s">
        <v>933</v>
      </c>
      <c r="B363" s="4">
        <v>45763</v>
      </c>
      <c r="C363" s="1" t="s">
        <v>537</v>
      </c>
      <c r="D363" s="1" t="s">
        <v>553</v>
      </c>
      <c r="E363" s="1">
        <v>56</v>
      </c>
      <c r="F363" s="2">
        <v>119209</v>
      </c>
      <c r="G363" s="2">
        <v>90613</v>
      </c>
      <c r="H363" s="1" t="s">
        <v>851</v>
      </c>
      <c r="I363" s="1" t="s">
        <v>521</v>
      </c>
      <c r="J363" s="2">
        <v>6425</v>
      </c>
      <c r="K363" s="1">
        <v>808</v>
      </c>
      <c r="L363" s="1" t="s">
        <v>522</v>
      </c>
      <c r="M363" s="2">
        <v>6675704</v>
      </c>
      <c r="N363" s="2">
        <v>5074328</v>
      </c>
      <c r="O363" s="2">
        <v>1594951</v>
      </c>
      <c r="P363" s="3">
        <v>0.23891877171306578</v>
      </c>
      <c r="Q363">
        <v>4</v>
      </c>
      <c r="R363" t="s">
        <v>1098</v>
      </c>
    </row>
    <row r="364" spans="1:18" ht="15.6">
      <c r="A364" s="1" t="s">
        <v>934</v>
      </c>
      <c r="B364" s="4">
        <v>46022</v>
      </c>
      <c r="C364" s="1" t="s">
        <v>589</v>
      </c>
      <c r="D364" s="1" t="s">
        <v>556</v>
      </c>
      <c r="E364" s="1">
        <v>56</v>
      </c>
      <c r="F364" s="2">
        <v>55589</v>
      </c>
      <c r="G364" s="2">
        <v>3161</v>
      </c>
      <c r="H364" s="1" t="s">
        <v>851</v>
      </c>
      <c r="I364" s="1" t="s">
        <v>544</v>
      </c>
      <c r="J364" s="2">
        <v>57673</v>
      </c>
      <c r="K364" s="1">
        <v>681</v>
      </c>
      <c r="L364" s="1" t="s">
        <v>522</v>
      </c>
      <c r="M364" s="2">
        <v>3112984</v>
      </c>
      <c r="N364" s="2">
        <v>177016</v>
      </c>
      <c r="O364" s="2">
        <v>2878295</v>
      </c>
      <c r="P364" s="3">
        <v>0.92460963499973015</v>
      </c>
      <c r="Q364">
        <v>12</v>
      </c>
      <c r="R364" t="s">
        <v>1102</v>
      </c>
    </row>
    <row r="365" spans="1:18" ht="15.6">
      <c r="A365" s="1" t="s">
        <v>935</v>
      </c>
      <c r="B365" s="4">
        <v>45696</v>
      </c>
      <c r="C365" s="1" t="s">
        <v>531</v>
      </c>
      <c r="D365" s="1" t="s">
        <v>543</v>
      </c>
      <c r="E365" s="1">
        <v>65</v>
      </c>
      <c r="F365" s="2">
        <v>11664</v>
      </c>
      <c r="G365" s="2">
        <v>83768</v>
      </c>
      <c r="H365" s="1" t="s">
        <v>851</v>
      </c>
      <c r="I365" s="1" t="s">
        <v>539</v>
      </c>
      <c r="J365" s="2">
        <v>51152</v>
      </c>
      <c r="K365" s="1">
        <v>556</v>
      </c>
      <c r="L365" s="1" t="s">
        <v>522</v>
      </c>
      <c r="M365" s="2">
        <v>758160</v>
      </c>
      <c r="N365" s="2">
        <v>5444920</v>
      </c>
      <c r="O365" s="2">
        <v>-4737912</v>
      </c>
      <c r="P365" s="3">
        <v>-6.2492244381133268</v>
      </c>
      <c r="Q365">
        <v>2</v>
      </c>
      <c r="R365" t="s">
        <v>1094</v>
      </c>
    </row>
    <row r="366" spans="1:18" ht="15.6">
      <c r="A366" s="1" t="s">
        <v>936</v>
      </c>
      <c r="B366" s="4">
        <v>45856</v>
      </c>
      <c r="C366" s="1" t="s">
        <v>549</v>
      </c>
      <c r="D366" s="1" t="s">
        <v>567</v>
      </c>
      <c r="E366" s="1">
        <v>59</v>
      </c>
      <c r="F366" s="2">
        <v>159627</v>
      </c>
      <c r="G366" s="2">
        <v>73934</v>
      </c>
      <c r="H366" s="1" t="s">
        <v>851</v>
      </c>
      <c r="I366" s="1" t="s">
        <v>544</v>
      </c>
      <c r="J366" s="2">
        <v>11194</v>
      </c>
      <c r="K366" s="1">
        <v>934</v>
      </c>
      <c r="L366" s="1" t="s">
        <v>522</v>
      </c>
      <c r="M366" s="2">
        <v>9417993</v>
      </c>
      <c r="N366" s="2">
        <v>4362106</v>
      </c>
      <c r="O366" s="2">
        <v>5044693</v>
      </c>
      <c r="P366" s="3">
        <v>0.53564416537578652</v>
      </c>
      <c r="Q366">
        <v>7</v>
      </c>
      <c r="R366" t="s">
        <v>1100</v>
      </c>
    </row>
    <row r="367" spans="1:18" ht="15.6">
      <c r="A367" s="1" t="s">
        <v>937</v>
      </c>
      <c r="B367" s="4">
        <v>45914</v>
      </c>
      <c r="C367" s="1" t="s">
        <v>531</v>
      </c>
      <c r="D367" s="1" t="s">
        <v>538</v>
      </c>
      <c r="E367" s="1">
        <v>57</v>
      </c>
      <c r="F367" s="2">
        <v>36484</v>
      </c>
      <c r="G367" s="2">
        <v>17346</v>
      </c>
      <c r="H367" s="1" t="s">
        <v>851</v>
      </c>
      <c r="I367" s="1" t="s">
        <v>544</v>
      </c>
      <c r="J367" s="2">
        <v>17691</v>
      </c>
      <c r="K367" s="1">
        <v>543</v>
      </c>
      <c r="L367" s="1" t="s">
        <v>522</v>
      </c>
      <c r="M367" s="2">
        <v>2079588</v>
      </c>
      <c r="N367" s="2">
        <v>988722</v>
      </c>
      <c r="O367" s="2">
        <v>1073175</v>
      </c>
      <c r="P367" s="3">
        <v>0.5160517371710166</v>
      </c>
      <c r="Q367">
        <v>9</v>
      </c>
      <c r="R367" t="s">
        <v>1103</v>
      </c>
    </row>
    <row r="368" spans="1:18" ht="15.6">
      <c r="A368" s="1" t="s">
        <v>938</v>
      </c>
      <c r="B368" s="4">
        <v>45960</v>
      </c>
      <c r="C368" s="1" t="s">
        <v>571</v>
      </c>
      <c r="D368" s="1" t="s">
        <v>556</v>
      </c>
      <c r="E368" s="1">
        <v>53</v>
      </c>
      <c r="F368" s="2">
        <v>11861</v>
      </c>
      <c r="G368" s="2">
        <v>5506</v>
      </c>
      <c r="H368" s="1" t="s">
        <v>851</v>
      </c>
      <c r="I368" s="1" t="s">
        <v>560</v>
      </c>
      <c r="J368" s="2">
        <v>14668</v>
      </c>
      <c r="K368" s="1">
        <v>765</v>
      </c>
      <c r="L368" s="1" t="s">
        <v>522</v>
      </c>
      <c r="M368" s="2">
        <v>628633</v>
      </c>
      <c r="N368" s="2">
        <v>291818</v>
      </c>
      <c r="O368" s="2">
        <v>322147</v>
      </c>
      <c r="P368" s="3">
        <v>0.51245639347600269</v>
      </c>
      <c r="Q368">
        <v>10</v>
      </c>
      <c r="R368" t="s">
        <v>1095</v>
      </c>
    </row>
    <row r="369" spans="1:18" ht="15.6">
      <c r="A369" s="1" t="s">
        <v>939</v>
      </c>
      <c r="B369" s="4">
        <v>45855</v>
      </c>
      <c r="C369" s="1" t="s">
        <v>558</v>
      </c>
      <c r="D369" s="1" t="s">
        <v>547</v>
      </c>
      <c r="E369" s="1">
        <v>3</v>
      </c>
      <c r="F369" s="2">
        <v>42804</v>
      </c>
      <c r="G369" s="2">
        <v>31404</v>
      </c>
      <c r="H369" s="1" t="s">
        <v>851</v>
      </c>
      <c r="I369" s="1" t="s">
        <v>539</v>
      </c>
      <c r="J369" s="2">
        <v>54591</v>
      </c>
      <c r="K369" s="1">
        <v>753</v>
      </c>
      <c r="L369" s="1" t="s">
        <v>522</v>
      </c>
      <c r="M369" s="2">
        <v>128412</v>
      </c>
      <c r="N369" s="2">
        <v>94212</v>
      </c>
      <c r="O369" s="2">
        <v>-20391</v>
      </c>
      <c r="P369" s="3">
        <v>-0.15879357069432765</v>
      </c>
      <c r="Q369">
        <v>7</v>
      </c>
      <c r="R369" t="s">
        <v>1100</v>
      </c>
    </row>
    <row r="370" spans="1:18" ht="15.6">
      <c r="A370" s="1" t="s">
        <v>940</v>
      </c>
      <c r="B370" s="4">
        <v>46004</v>
      </c>
      <c r="C370" s="1" t="s">
        <v>694</v>
      </c>
      <c r="D370" s="1" t="s">
        <v>519</v>
      </c>
      <c r="E370" s="1">
        <v>41</v>
      </c>
      <c r="F370" s="2">
        <v>78937</v>
      </c>
      <c r="G370" s="2">
        <v>4472</v>
      </c>
      <c r="H370" s="1" t="s">
        <v>851</v>
      </c>
      <c r="I370" s="1" t="s">
        <v>533</v>
      </c>
      <c r="J370" s="2">
        <v>47049</v>
      </c>
      <c r="K370" s="1">
        <v>582</v>
      </c>
      <c r="L370" s="1" t="s">
        <v>522</v>
      </c>
      <c r="M370" s="2">
        <v>3236417</v>
      </c>
      <c r="N370" s="2">
        <v>183352</v>
      </c>
      <c r="O370" s="2">
        <v>3006016</v>
      </c>
      <c r="P370" s="3">
        <v>0.92880985361280699</v>
      </c>
      <c r="Q370">
        <v>12</v>
      </c>
      <c r="R370" t="s">
        <v>1102</v>
      </c>
    </row>
    <row r="371" spans="1:18" ht="15.6">
      <c r="A371" s="1" t="s">
        <v>941</v>
      </c>
      <c r="B371" s="4">
        <v>45751</v>
      </c>
      <c r="C371" s="1" t="s">
        <v>589</v>
      </c>
      <c r="D371" s="1" t="s">
        <v>556</v>
      </c>
      <c r="E371" s="1">
        <v>25</v>
      </c>
      <c r="F371" s="2">
        <v>93828</v>
      </c>
      <c r="G371" s="2">
        <v>48405</v>
      </c>
      <c r="H371" s="1" t="s">
        <v>851</v>
      </c>
      <c r="I371" s="1" t="s">
        <v>521</v>
      </c>
      <c r="J371" s="2">
        <v>57365</v>
      </c>
      <c r="K371" s="1">
        <v>553</v>
      </c>
      <c r="L371" s="1" t="s">
        <v>522</v>
      </c>
      <c r="M371" s="2">
        <v>2345700</v>
      </c>
      <c r="N371" s="2">
        <v>1210125</v>
      </c>
      <c r="O371" s="2">
        <v>1078210</v>
      </c>
      <c r="P371" s="3">
        <v>0.45965383467621607</v>
      </c>
      <c r="Q371">
        <v>4</v>
      </c>
      <c r="R371" t="s">
        <v>1098</v>
      </c>
    </row>
    <row r="372" spans="1:18" ht="15.6">
      <c r="A372" s="1" t="s">
        <v>942</v>
      </c>
      <c r="B372" s="4">
        <v>45859</v>
      </c>
      <c r="C372" s="1" t="s">
        <v>518</v>
      </c>
      <c r="D372" s="1" t="s">
        <v>556</v>
      </c>
      <c r="E372" s="1">
        <v>23</v>
      </c>
      <c r="F372" s="2">
        <v>86638</v>
      </c>
      <c r="G372" s="2">
        <v>42428</v>
      </c>
      <c r="H372" s="1" t="s">
        <v>851</v>
      </c>
      <c r="I372" s="1" t="s">
        <v>539</v>
      </c>
      <c r="J372" s="2">
        <v>23939</v>
      </c>
      <c r="K372" s="1">
        <v>454</v>
      </c>
      <c r="L372" s="1" t="s">
        <v>522</v>
      </c>
      <c r="M372" s="2">
        <v>1992674</v>
      </c>
      <c r="N372" s="2">
        <v>975844</v>
      </c>
      <c r="O372" s="2">
        <v>992891</v>
      </c>
      <c r="P372" s="3">
        <v>0.49827066544753434</v>
      </c>
      <c r="Q372">
        <v>7</v>
      </c>
      <c r="R372" t="s">
        <v>1100</v>
      </c>
    </row>
    <row r="373" spans="1:18" ht="15.6">
      <c r="A373" s="1" t="s">
        <v>943</v>
      </c>
      <c r="B373" s="4">
        <v>45926</v>
      </c>
      <c r="C373" s="1" t="s">
        <v>604</v>
      </c>
      <c r="D373" s="1" t="s">
        <v>547</v>
      </c>
      <c r="E373" s="1">
        <v>14</v>
      </c>
      <c r="F373" s="2">
        <v>53142</v>
      </c>
      <c r="G373" s="2">
        <v>26637</v>
      </c>
      <c r="H373" s="1" t="s">
        <v>851</v>
      </c>
      <c r="I373" s="1" t="s">
        <v>539</v>
      </c>
      <c r="J373" s="2">
        <v>23562</v>
      </c>
      <c r="K373" s="1">
        <v>574</v>
      </c>
      <c r="L373" s="1" t="s">
        <v>522</v>
      </c>
      <c r="M373" s="2">
        <v>743988</v>
      </c>
      <c r="N373" s="2">
        <v>372918</v>
      </c>
      <c r="O373" s="2">
        <v>347508</v>
      </c>
      <c r="P373" s="3">
        <v>0.4670881788415942</v>
      </c>
      <c r="Q373">
        <v>9</v>
      </c>
      <c r="R373" t="s">
        <v>1103</v>
      </c>
    </row>
    <row r="374" spans="1:18" ht="15.6">
      <c r="A374" s="1" t="s">
        <v>944</v>
      </c>
      <c r="B374" s="4">
        <v>45880</v>
      </c>
      <c r="C374" s="1" t="s">
        <v>555</v>
      </c>
      <c r="D374" s="1" t="s">
        <v>556</v>
      </c>
      <c r="E374" s="1">
        <v>69</v>
      </c>
      <c r="F374" s="2">
        <v>61262</v>
      </c>
      <c r="G374" s="2">
        <v>34586</v>
      </c>
      <c r="H374" s="1" t="s">
        <v>851</v>
      </c>
      <c r="I374" s="1" t="s">
        <v>521</v>
      </c>
      <c r="J374" s="2">
        <v>53282</v>
      </c>
      <c r="K374" s="1">
        <v>671</v>
      </c>
      <c r="L374" s="1" t="s">
        <v>522</v>
      </c>
      <c r="M374" s="2">
        <v>4227078</v>
      </c>
      <c r="N374" s="2">
        <v>2386434</v>
      </c>
      <c r="O374" s="2">
        <v>1787362</v>
      </c>
      <c r="P374" s="3">
        <v>0.4228362949536299</v>
      </c>
      <c r="Q374">
        <v>8</v>
      </c>
      <c r="R374" t="s">
        <v>1097</v>
      </c>
    </row>
    <row r="375" spans="1:18" ht="15.6">
      <c r="A375" s="1" t="s">
        <v>945</v>
      </c>
      <c r="B375" s="4">
        <v>45852</v>
      </c>
      <c r="C375" s="1" t="s">
        <v>646</v>
      </c>
      <c r="D375" s="1" t="s">
        <v>529</v>
      </c>
      <c r="E375" s="1">
        <v>45</v>
      </c>
      <c r="F375" s="2">
        <v>111841</v>
      </c>
      <c r="G375" s="2">
        <v>80118</v>
      </c>
      <c r="H375" s="1" t="s">
        <v>851</v>
      </c>
      <c r="I375" s="1" t="s">
        <v>539</v>
      </c>
      <c r="J375" s="2">
        <v>37174</v>
      </c>
      <c r="K375" s="1">
        <v>937</v>
      </c>
      <c r="L375" s="1" t="s">
        <v>526</v>
      </c>
      <c r="M375" s="2">
        <v>5032845</v>
      </c>
      <c r="N375" s="2">
        <v>3605310</v>
      </c>
      <c r="O375" s="2">
        <v>1390361</v>
      </c>
      <c r="P375" s="3">
        <v>0.2762574647142918</v>
      </c>
      <c r="Q375">
        <v>7</v>
      </c>
      <c r="R375" t="s">
        <v>1100</v>
      </c>
    </row>
    <row r="376" spans="1:18" ht="15.6">
      <c r="A376" s="1" t="s">
        <v>946</v>
      </c>
      <c r="B376" s="4">
        <v>45811</v>
      </c>
      <c r="C376" s="1" t="s">
        <v>555</v>
      </c>
      <c r="D376" s="1" t="s">
        <v>584</v>
      </c>
      <c r="E376" s="1">
        <v>53</v>
      </c>
      <c r="F376" s="2">
        <v>64103</v>
      </c>
      <c r="G376" s="2">
        <v>43595</v>
      </c>
      <c r="H376" s="1" t="s">
        <v>851</v>
      </c>
      <c r="I376" s="1" t="s">
        <v>521</v>
      </c>
      <c r="J376" s="2">
        <v>1651</v>
      </c>
      <c r="K376" s="1">
        <v>782</v>
      </c>
      <c r="L376" s="1" t="s">
        <v>526</v>
      </c>
      <c r="M376" s="2">
        <v>3397459</v>
      </c>
      <c r="N376" s="2">
        <v>2310535</v>
      </c>
      <c r="O376" s="2">
        <v>1085273</v>
      </c>
      <c r="P376" s="3">
        <v>0.31943667311364171</v>
      </c>
      <c r="Q376">
        <v>6</v>
      </c>
      <c r="R376" t="s">
        <v>1101</v>
      </c>
    </row>
    <row r="377" spans="1:18" ht="15.6">
      <c r="A377" s="1" t="s">
        <v>947</v>
      </c>
      <c r="B377" s="4">
        <v>45724</v>
      </c>
      <c r="C377" s="1" t="s">
        <v>537</v>
      </c>
      <c r="D377" s="1" t="s">
        <v>543</v>
      </c>
      <c r="E377" s="1">
        <v>76</v>
      </c>
      <c r="F377" s="2">
        <v>172539</v>
      </c>
      <c r="G377" s="2">
        <v>109624</v>
      </c>
      <c r="H377" s="1" t="s">
        <v>851</v>
      </c>
      <c r="I377" s="1" t="s">
        <v>533</v>
      </c>
      <c r="J377" s="2">
        <v>29649</v>
      </c>
      <c r="K377" s="1">
        <v>887</v>
      </c>
      <c r="L377" s="1" t="s">
        <v>526</v>
      </c>
      <c r="M377" s="2">
        <v>13112964</v>
      </c>
      <c r="N377" s="2">
        <v>8331424</v>
      </c>
      <c r="O377" s="2">
        <v>4751891</v>
      </c>
      <c r="P377" s="3">
        <v>0.36238115196533749</v>
      </c>
      <c r="Q377">
        <v>3</v>
      </c>
      <c r="R377" t="s">
        <v>1104</v>
      </c>
    </row>
    <row r="378" spans="1:18" ht="15.6">
      <c r="A378" s="1" t="s">
        <v>948</v>
      </c>
      <c r="B378" s="4">
        <v>45678</v>
      </c>
      <c r="C378" s="1" t="s">
        <v>581</v>
      </c>
      <c r="D378" s="1" t="s">
        <v>525</v>
      </c>
      <c r="E378" s="1">
        <v>57</v>
      </c>
      <c r="F378" s="2">
        <v>17845</v>
      </c>
      <c r="G378" s="2">
        <v>111164</v>
      </c>
      <c r="H378" s="1" t="s">
        <v>851</v>
      </c>
      <c r="I378" s="1" t="s">
        <v>521</v>
      </c>
      <c r="J378" s="2">
        <v>26834</v>
      </c>
      <c r="K378" s="1">
        <v>909</v>
      </c>
      <c r="L378" s="1" t="s">
        <v>526</v>
      </c>
      <c r="M378" s="2">
        <v>1017165</v>
      </c>
      <c r="N378" s="2">
        <v>6336348</v>
      </c>
      <c r="O378" s="2">
        <v>-5346017</v>
      </c>
      <c r="P378" s="3">
        <v>-5.2558011728677254</v>
      </c>
      <c r="Q378">
        <v>1</v>
      </c>
      <c r="R378" t="s">
        <v>1096</v>
      </c>
    </row>
    <row r="379" spans="1:18" ht="15.6">
      <c r="A379" s="1" t="s">
        <v>949</v>
      </c>
      <c r="B379" s="4">
        <v>45803</v>
      </c>
      <c r="C379" s="1" t="s">
        <v>524</v>
      </c>
      <c r="D379" s="1" t="s">
        <v>525</v>
      </c>
      <c r="E379" s="1">
        <v>78</v>
      </c>
      <c r="F379" s="2">
        <v>158204</v>
      </c>
      <c r="G379" s="2">
        <v>88596</v>
      </c>
      <c r="H379" s="1" t="s">
        <v>851</v>
      </c>
      <c r="I379" s="1" t="s">
        <v>521</v>
      </c>
      <c r="J379" s="2">
        <v>60005</v>
      </c>
      <c r="K379" s="1">
        <v>605</v>
      </c>
      <c r="L379" s="1" t="s">
        <v>526</v>
      </c>
      <c r="M379" s="2">
        <v>12339912</v>
      </c>
      <c r="N379" s="2">
        <v>6910488</v>
      </c>
      <c r="O379" s="2">
        <v>5369419</v>
      </c>
      <c r="P379" s="3">
        <v>0.43512619863091406</v>
      </c>
      <c r="Q379">
        <v>5</v>
      </c>
      <c r="R379" t="s">
        <v>1099</v>
      </c>
    </row>
    <row r="380" spans="1:18" ht="15.6">
      <c r="A380" s="1" t="s">
        <v>950</v>
      </c>
      <c r="B380" s="4">
        <v>45888</v>
      </c>
      <c r="C380" s="1" t="s">
        <v>566</v>
      </c>
      <c r="D380" s="1" t="s">
        <v>556</v>
      </c>
      <c r="E380" s="1">
        <v>67</v>
      </c>
      <c r="F380" s="2">
        <v>67257</v>
      </c>
      <c r="G380" s="2">
        <v>49752</v>
      </c>
      <c r="H380" s="1" t="s">
        <v>851</v>
      </c>
      <c r="I380" s="1" t="s">
        <v>560</v>
      </c>
      <c r="J380" s="2">
        <v>15918</v>
      </c>
      <c r="K380" s="1">
        <v>933</v>
      </c>
      <c r="L380" s="1" t="s">
        <v>526</v>
      </c>
      <c r="M380" s="2">
        <v>4506219</v>
      </c>
      <c r="N380" s="2">
        <v>3333384</v>
      </c>
      <c r="O380" s="2">
        <v>1156917</v>
      </c>
      <c r="P380" s="3">
        <v>0.25673785495112422</v>
      </c>
      <c r="Q380">
        <v>8</v>
      </c>
      <c r="R380" t="s">
        <v>1097</v>
      </c>
    </row>
    <row r="381" spans="1:18" ht="15.6">
      <c r="A381" s="1" t="s">
        <v>951</v>
      </c>
      <c r="B381" s="4">
        <v>45679</v>
      </c>
      <c r="C381" s="1" t="s">
        <v>658</v>
      </c>
      <c r="D381" s="1" t="s">
        <v>553</v>
      </c>
      <c r="E381" s="1">
        <v>4</v>
      </c>
      <c r="F381" s="2">
        <v>2197</v>
      </c>
      <c r="G381" s="2">
        <v>16764</v>
      </c>
      <c r="H381" s="1" t="s">
        <v>851</v>
      </c>
      <c r="I381" s="1" t="s">
        <v>544</v>
      </c>
      <c r="J381" s="2">
        <v>44068</v>
      </c>
      <c r="K381" s="1">
        <v>833</v>
      </c>
      <c r="L381" s="1" t="s">
        <v>526</v>
      </c>
      <c r="M381" s="2">
        <v>8788</v>
      </c>
      <c r="N381" s="2">
        <v>67056</v>
      </c>
      <c r="O381" s="2">
        <v>-102336</v>
      </c>
      <c r="P381" s="3">
        <v>-11.644970414201184</v>
      </c>
      <c r="Q381">
        <v>1</v>
      </c>
      <c r="R381" t="s">
        <v>1096</v>
      </c>
    </row>
    <row r="382" spans="1:18" ht="15.6">
      <c r="A382" s="1" t="s">
        <v>952</v>
      </c>
      <c r="B382" s="4">
        <v>45974</v>
      </c>
      <c r="C382" s="1" t="s">
        <v>579</v>
      </c>
      <c r="D382" s="1" t="s">
        <v>543</v>
      </c>
      <c r="E382" s="1">
        <v>64</v>
      </c>
      <c r="F382" s="2">
        <v>160907</v>
      </c>
      <c r="G382" s="2">
        <v>101378</v>
      </c>
      <c r="H382" s="1" t="s">
        <v>851</v>
      </c>
      <c r="I382" s="1" t="s">
        <v>544</v>
      </c>
      <c r="J382" s="2">
        <v>33977</v>
      </c>
      <c r="K382" s="1">
        <v>852</v>
      </c>
      <c r="L382" s="1" t="s">
        <v>526</v>
      </c>
      <c r="M382" s="2">
        <v>10298048</v>
      </c>
      <c r="N382" s="2">
        <v>6488192</v>
      </c>
      <c r="O382" s="2">
        <v>3775879</v>
      </c>
      <c r="P382" s="3">
        <v>0.36665968152411021</v>
      </c>
      <c r="Q382">
        <v>11</v>
      </c>
      <c r="R382" t="s">
        <v>1105</v>
      </c>
    </row>
    <row r="383" spans="1:18" ht="15.6">
      <c r="A383" s="1" t="s">
        <v>953</v>
      </c>
      <c r="B383" s="4">
        <v>45829</v>
      </c>
      <c r="C383" s="1" t="s">
        <v>577</v>
      </c>
      <c r="D383" s="1" t="s">
        <v>553</v>
      </c>
      <c r="E383" s="1">
        <v>77</v>
      </c>
      <c r="F383" s="2">
        <v>31413</v>
      </c>
      <c r="G383" s="2">
        <v>1746</v>
      </c>
      <c r="H383" s="1" t="s">
        <v>851</v>
      </c>
      <c r="I383" s="1" t="s">
        <v>521</v>
      </c>
      <c r="J383" s="2">
        <v>33741</v>
      </c>
      <c r="K383" s="1">
        <v>539</v>
      </c>
      <c r="L383" s="1" t="s">
        <v>526</v>
      </c>
      <c r="M383" s="2">
        <v>2418801</v>
      </c>
      <c r="N383" s="2">
        <v>134442</v>
      </c>
      <c r="O383" s="2">
        <v>2250618</v>
      </c>
      <c r="P383" s="3">
        <v>0.930468442835934</v>
      </c>
      <c r="Q383">
        <v>6</v>
      </c>
      <c r="R383" t="s">
        <v>1101</v>
      </c>
    </row>
    <row r="384" spans="1:18" ht="15.6">
      <c r="A384" s="1" t="s">
        <v>954</v>
      </c>
      <c r="B384" s="4">
        <v>45995</v>
      </c>
      <c r="C384" s="1" t="s">
        <v>558</v>
      </c>
      <c r="D384" s="1" t="s">
        <v>525</v>
      </c>
      <c r="E384" s="1">
        <v>55</v>
      </c>
      <c r="F384" s="2">
        <v>143721</v>
      </c>
      <c r="G384" s="2">
        <v>68182</v>
      </c>
      <c r="H384" s="1" t="s">
        <v>851</v>
      </c>
      <c r="I384" s="1" t="s">
        <v>539</v>
      </c>
      <c r="J384" s="2">
        <v>39935</v>
      </c>
      <c r="K384" s="1">
        <v>717</v>
      </c>
      <c r="L384" s="1" t="s">
        <v>526</v>
      </c>
      <c r="M384" s="2">
        <v>7904655</v>
      </c>
      <c r="N384" s="2">
        <v>3750010</v>
      </c>
      <c r="O384" s="2">
        <v>4114710</v>
      </c>
      <c r="P384" s="3">
        <v>0.52054264227850555</v>
      </c>
      <c r="Q384">
        <v>12</v>
      </c>
      <c r="R384" t="s">
        <v>1102</v>
      </c>
    </row>
    <row r="385" spans="1:18" ht="15.6">
      <c r="A385" s="1" t="s">
        <v>955</v>
      </c>
      <c r="B385" s="4">
        <v>45743</v>
      </c>
      <c r="C385" s="1" t="s">
        <v>579</v>
      </c>
      <c r="D385" s="1" t="s">
        <v>586</v>
      </c>
      <c r="E385" s="1">
        <v>6</v>
      </c>
      <c r="F385" s="2">
        <v>104874</v>
      </c>
      <c r="G385" s="2">
        <v>69517</v>
      </c>
      <c r="H385" s="1" t="s">
        <v>851</v>
      </c>
      <c r="I385" s="1" t="s">
        <v>539</v>
      </c>
      <c r="J385" s="2">
        <v>63009</v>
      </c>
      <c r="K385" s="1">
        <v>616</v>
      </c>
      <c r="L385" s="1" t="s">
        <v>526</v>
      </c>
      <c r="M385" s="2">
        <v>629244</v>
      </c>
      <c r="N385" s="2">
        <v>417102</v>
      </c>
      <c r="O385" s="2">
        <v>149133</v>
      </c>
      <c r="P385" s="3">
        <v>0.237003451761161</v>
      </c>
      <c r="Q385">
        <v>3</v>
      </c>
      <c r="R385" t="s">
        <v>1104</v>
      </c>
    </row>
    <row r="386" spans="1:18" ht="15.6">
      <c r="A386" s="1" t="s">
        <v>956</v>
      </c>
      <c r="B386" s="4">
        <v>45718</v>
      </c>
      <c r="C386" s="1" t="s">
        <v>581</v>
      </c>
      <c r="D386" s="1" t="s">
        <v>584</v>
      </c>
      <c r="E386" s="1">
        <v>15</v>
      </c>
      <c r="F386" s="2">
        <v>39484</v>
      </c>
      <c r="G386" s="2">
        <v>26803</v>
      </c>
      <c r="H386" s="1" t="s">
        <v>851</v>
      </c>
      <c r="I386" s="1" t="s">
        <v>539</v>
      </c>
      <c r="J386" s="2">
        <v>30094</v>
      </c>
      <c r="K386" s="1">
        <v>519</v>
      </c>
      <c r="L386" s="1" t="s">
        <v>526</v>
      </c>
      <c r="M386" s="2">
        <v>592260</v>
      </c>
      <c r="N386" s="2">
        <v>402045</v>
      </c>
      <c r="O386" s="2">
        <v>160121</v>
      </c>
      <c r="P386" s="3">
        <v>0.27035592476277309</v>
      </c>
      <c r="Q386">
        <v>3</v>
      </c>
      <c r="R386" t="s">
        <v>1104</v>
      </c>
    </row>
    <row r="387" spans="1:18" ht="15.6">
      <c r="A387" s="1" t="s">
        <v>957</v>
      </c>
      <c r="B387" s="4">
        <v>45659</v>
      </c>
      <c r="C387" s="1" t="s">
        <v>518</v>
      </c>
      <c r="D387" s="1" t="s">
        <v>563</v>
      </c>
      <c r="E387" s="1">
        <v>12</v>
      </c>
      <c r="F387" s="2">
        <v>13372</v>
      </c>
      <c r="G387" s="2">
        <v>80404</v>
      </c>
      <c r="H387" s="1" t="s">
        <v>851</v>
      </c>
      <c r="I387" s="1" t="s">
        <v>544</v>
      </c>
      <c r="J387" s="2">
        <v>56006</v>
      </c>
      <c r="K387" s="1">
        <v>848</v>
      </c>
      <c r="L387" s="1" t="s">
        <v>526</v>
      </c>
      <c r="M387" s="2">
        <v>160464</v>
      </c>
      <c r="N387" s="2">
        <v>964848</v>
      </c>
      <c r="O387" s="2">
        <v>-860390</v>
      </c>
      <c r="P387" s="3">
        <v>-5.3618880247282883</v>
      </c>
      <c r="Q387">
        <v>1</v>
      </c>
      <c r="R387" t="s">
        <v>1096</v>
      </c>
    </row>
    <row r="388" spans="1:18" ht="15.6">
      <c r="A388" s="1" t="s">
        <v>958</v>
      </c>
      <c r="B388" s="4">
        <v>45869</v>
      </c>
      <c r="C388" s="1" t="s">
        <v>694</v>
      </c>
      <c r="D388" s="1" t="s">
        <v>567</v>
      </c>
      <c r="E388" s="1">
        <v>48</v>
      </c>
      <c r="F388" s="2">
        <v>86855</v>
      </c>
      <c r="G388" s="2">
        <v>60521</v>
      </c>
      <c r="H388" s="1" t="s">
        <v>851</v>
      </c>
      <c r="I388" s="1" t="s">
        <v>533</v>
      </c>
      <c r="J388" s="2">
        <v>35326</v>
      </c>
      <c r="K388" s="1">
        <v>769</v>
      </c>
      <c r="L388" s="1" t="s">
        <v>526</v>
      </c>
      <c r="M388" s="2">
        <v>4169040</v>
      </c>
      <c r="N388" s="2">
        <v>2905008</v>
      </c>
      <c r="O388" s="2">
        <v>1228706</v>
      </c>
      <c r="P388" s="3">
        <v>0.29472156659566712</v>
      </c>
      <c r="Q388">
        <v>7</v>
      </c>
      <c r="R388" t="s">
        <v>1100</v>
      </c>
    </row>
    <row r="389" spans="1:18" ht="15.6">
      <c r="A389" s="1" t="s">
        <v>959</v>
      </c>
      <c r="B389" s="4">
        <v>45996</v>
      </c>
      <c r="C389" s="1" t="s">
        <v>636</v>
      </c>
      <c r="D389" s="1" t="s">
        <v>584</v>
      </c>
      <c r="E389" s="1">
        <v>31</v>
      </c>
      <c r="F389" s="2">
        <v>24498</v>
      </c>
      <c r="G389" s="2">
        <v>1420</v>
      </c>
      <c r="H389" s="1" t="s">
        <v>851</v>
      </c>
      <c r="I389" s="1" t="s">
        <v>539</v>
      </c>
      <c r="J389" s="2">
        <v>14215</v>
      </c>
      <c r="K389" s="1">
        <v>63</v>
      </c>
      <c r="L389" s="1" t="s">
        <v>526</v>
      </c>
      <c r="M389" s="2">
        <v>759438</v>
      </c>
      <c r="N389" s="2">
        <v>44020</v>
      </c>
      <c r="O389" s="2">
        <v>701203</v>
      </c>
      <c r="P389" s="3">
        <v>0.92331829589775594</v>
      </c>
      <c r="Q389">
        <v>12</v>
      </c>
      <c r="R389" t="s">
        <v>1102</v>
      </c>
    </row>
    <row r="390" spans="1:18" ht="15.6">
      <c r="A390" s="1" t="s">
        <v>960</v>
      </c>
      <c r="B390" s="4">
        <v>45772</v>
      </c>
      <c r="C390" s="1" t="s">
        <v>671</v>
      </c>
      <c r="D390" s="1" t="s">
        <v>553</v>
      </c>
      <c r="E390" s="1">
        <v>44</v>
      </c>
      <c r="F390" s="2">
        <v>97285</v>
      </c>
      <c r="G390" s="2">
        <v>65874</v>
      </c>
      <c r="H390" s="1" t="s">
        <v>851</v>
      </c>
      <c r="I390" s="1" t="s">
        <v>533</v>
      </c>
      <c r="J390" s="2">
        <v>30971</v>
      </c>
      <c r="K390" s="1">
        <v>813</v>
      </c>
      <c r="L390" s="1" t="s">
        <v>526</v>
      </c>
      <c r="M390" s="2">
        <v>4280540</v>
      </c>
      <c r="N390" s="2">
        <v>2898456</v>
      </c>
      <c r="O390" s="2">
        <v>1351113</v>
      </c>
      <c r="P390" s="3">
        <v>0.31564078363944736</v>
      </c>
      <c r="Q390">
        <v>4</v>
      </c>
      <c r="R390" t="s">
        <v>1098</v>
      </c>
    </row>
    <row r="391" spans="1:18" ht="15.6">
      <c r="A391" s="1" t="s">
        <v>961</v>
      </c>
      <c r="B391" s="4">
        <v>45702</v>
      </c>
      <c r="C391" s="1" t="s">
        <v>535</v>
      </c>
      <c r="D391" s="1" t="s">
        <v>543</v>
      </c>
      <c r="E391" s="1">
        <v>23</v>
      </c>
      <c r="F391" s="2">
        <v>144605</v>
      </c>
      <c r="G391" s="2">
        <v>91704</v>
      </c>
      <c r="H391" s="1" t="s">
        <v>851</v>
      </c>
      <c r="I391" s="1" t="s">
        <v>521</v>
      </c>
      <c r="J391" s="2">
        <v>59659</v>
      </c>
      <c r="K391" s="1">
        <v>654</v>
      </c>
      <c r="L391" s="1" t="s">
        <v>526</v>
      </c>
      <c r="M391" s="2">
        <v>3325915</v>
      </c>
      <c r="N391" s="2">
        <v>2109192</v>
      </c>
      <c r="O391" s="2">
        <v>1157064</v>
      </c>
      <c r="P391" s="3">
        <v>0.34789343684369567</v>
      </c>
      <c r="Q391">
        <v>2</v>
      </c>
      <c r="R391" t="s">
        <v>1094</v>
      </c>
    </row>
    <row r="392" spans="1:18" ht="15.6">
      <c r="A392" s="1" t="s">
        <v>962</v>
      </c>
      <c r="B392" s="4">
        <v>46008</v>
      </c>
      <c r="C392" s="1" t="s">
        <v>571</v>
      </c>
      <c r="D392" s="1" t="s">
        <v>563</v>
      </c>
      <c r="E392" s="1">
        <v>66</v>
      </c>
      <c r="F392" s="2">
        <v>32144</v>
      </c>
      <c r="G392" s="2">
        <v>16154</v>
      </c>
      <c r="H392" s="1" t="s">
        <v>851</v>
      </c>
      <c r="I392" s="1" t="s">
        <v>560</v>
      </c>
      <c r="J392" s="2">
        <v>44565</v>
      </c>
      <c r="K392" s="1">
        <v>934</v>
      </c>
      <c r="L392" s="1" t="s">
        <v>526</v>
      </c>
      <c r="M392" s="2">
        <v>2121504</v>
      </c>
      <c r="N392" s="2">
        <v>1066164</v>
      </c>
      <c r="O392" s="2">
        <v>1010775</v>
      </c>
      <c r="P392" s="3">
        <v>0.47644265577627948</v>
      </c>
      <c r="Q392">
        <v>12</v>
      </c>
      <c r="R392" t="s">
        <v>1102</v>
      </c>
    </row>
    <row r="393" spans="1:18" ht="15.6">
      <c r="A393" s="1" t="s">
        <v>963</v>
      </c>
      <c r="B393" s="4">
        <v>45734</v>
      </c>
      <c r="C393" s="1" t="s">
        <v>549</v>
      </c>
      <c r="D393" s="1" t="s">
        <v>563</v>
      </c>
      <c r="E393" s="1">
        <v>2</v>
      </c>
      <c r="F393" s="2">
        <v>38376</v>
      </c>
      <c r="G393" s="2">
        <v>23596</v>
      </c>
      <c r="H393" s="1" t="s">
        <v>851</v>
      </c>
      <c r="I393" s="1" t="s">
        <v>560</v>
      </c>
      <c r="J393" s="2">
        <v>37039</v>
      </c>
      <c r="K393" s="1">
        <v>608</v>
      </c>
      <c r="L393" s="1" t="s">
        <v>526</v>
      </c>
      <c r="M393" s="2">
        <v>76752</v>
      </c>
      <c r="N393" s="2">
        <v>47192</v>
      </c>
      <c r="O393" s="2">
        <v>-7479</v>
      </c>
      <c r="P393" s="3">
        <v>-9.7443714821763602E-2</v>
      </c>
      <c r="Q393">
        <v>3</v>
      </c>
      <c r="R393" t="s">
        <v>1104</v>
      </c>
    </row>
  </sheetData>
  <scenarios current="0" show="0">
    <scenario name="Pesimista" locked="1" count="1" user="Viviana" comment="Creado por Viviana el 13/9/2026_x000a_Modificado por Viviana el 13/9/2026">
      <inputCells r="B2" val="%" numFmtId="14"/>
    </scenario>
    <scenario name="Base" locked="1" count="1" user="Viviana" comment="Creado por Viviana el 13/9/2026">
      <inputCells r="B2" val="%"/>
    </scenario>
    <scenario name="Optimista" locked="1" count="1" user="Viviana" comment="Creado por Viviana el 13/9/2026">
      <inputCells r="B2" val="%"/>
    </scenario>
  </scenarios>
  <phoneticPr fontId="3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180F8-78A8-436A-9852-45BBF6BD2A89}">
  <dimension ref="A1:B31"/>
  <sheetViews>
    <sheetView showGridLines="0" zoomScale="85" workbookViewId="0">
      <selection activeCell="A22" sqref="A22"/>
    </sheetView>
  </sheetViews>
  <sheetFormatPr baseColWidth="10" defaultRowHeight="15"/>
  <cols>
    <col min="1" max="1" width="10.5" style="1" bestFit="1" customWidth="1"/>
    <col min="2" max="2" width="25.5" style="1" bestFit="1" customWidth="1"/>
    <col min="3" max="16384" width="10.6640625" style="1"/>
  </cols>
  <sheetData>
    <row r="1" spans="1:2">
      <c r="A1" s="1" t="s">
        <v>503</v>
      </c>
      <c r="B1" s="1" t="s">
        <v>1009</v>
      </c>
    </row>
    <row r="2" spans="1:2">
      <c r="A2" s="1" t="s">
        <v>546</v>
      </c>
      <c r="B2" s="1" t="s">
        <v>1036</v>
      </c>
    </row>
    <row r="3" spans="1:2">
      <c r="A3" s="1" t="s">
        <v>607</v>
      </c>
      <c r="B3" s="1" t="s">
        <v>1010</v>
      </c>
    </row>
    <row r="4" spans="1:2">
      <c r="A4" s="1" t="s">
        <v>535</v>
      </c>
      <c r="B4" s="1" t="s">
        <v>1011</v>
      </c>
    </row>
    <row r="5" spans="1:2">
      <c r="A5" s="1" t="s">
        <v>646</v>
      </c>
      <c r="B5" s="1" t="s">
        <v>1038</v>
      </c>
    </row>
    <row r="6" spans="1:2">
      <c r="A6" s="1" t="s">
        <v>558</v>
      </c>
      <c r="B6" s="1" t="s">
        <v>1012</v>
      </c>
    </row>
    <row r="7" spans="1:2">
      <c r="A7" s="1" t="s">
        <v>571</v>
      </c>
      <c r="B7" s="1" t="s">
        <v>1013</v>
      </c>
    </row>
    <row r="8" spans="1:2">
      <c r="A8" s="1" t="s">
        <v>541</v>
      </c>
      <c r="B8" s="1" t="s">
        <v>1014</v>
      </c>
    </row>
    <row r="9" spans="1:2">
      <c r="A9" s="1" t="s">
        <v>581</v>
      </c>
      <c r="B9" s="1" t="s">
        <v>1015</v>
      </c>
    </row>
    <row r="10" spans="1:2">
      <c r="A10" s="1" t="s">
        <v>524</v>
      </c>
      <c r="B10" s="1" t="s">
        <v>1016</v>
      </c>
    </row>
    <row r="11" spans="1:2">
      <c r="A11" s="1" t="s">
        <v>636</v>
      </c>
      <c r="B11" s="1" t="s">
        <v>1017</v>
      </c>
    </row>
    <row r="12" spans="1:2">
      <c r="A12" s="1" t="s">
        <v>649</v>
      </c>
      <c r="B12" s="1" t="s">
        <v>1018</v>
      </c>
    </row>
    <row r="13" spans="1:2">
      <c r="A13" s="1" t="s">
        <v>600</v>
      </c>
      <c r="B13" s="1" t="s">
        <v>1019</v>
      </c>
    </row>
    <row r="14" spans="1:2">
      <c r="A14" s="1" t="s">
        <v>551</v>
      </c>
      <c r="B14" s="1" t="s">
        <v>1020</v>
      </c>
    </row>
    <row r="15" spans="1:2">
      <c r="A15" s="1" t="s">
        <v>577</v>
      </c>
      <c r="B15" s="1" t="s">
        <v>1021</v>
      </c>
    </row>
    <row r="16" spans="1:2">
      <c r="A16" s="1" t="s">
        <v>566</v>
      </c>
      <c r="B16" s="1" t="s">
        <v>1022</v>
      </c>
    </row>
    <row r="17" spans="1:2">
      <c r="A17" s="1" t="s">
        <v>549</v>
      </c>
      <c r="B17" s="1" t="s">
        <v>1023</v>
      </c>
    </row>
    <row r="18" spans="1:2">
      <c r="A18" s="1" t="s">
        <v>555</v>
      </c>
      <c r="B18" s="1" t="s">
        <v>1024</v>
      </c>
    </row>
    <row r="19" spans="1:2">
      <c r="A19" s="1" t="s">
        <v>537</v>
      </c>
      <c r="B19" s="1" t="s">
        <v>1025</v>
      </c>
    </row>
    <row r="20" spans="1:2">
      <c r="A20" s="1" t="s">
        <v>583</v>
      </c>
      <c r="B20" s="1" t="s">
        <v>1026</v>
      </c>
    </row>
    <row r="21" spans="1:2">
      <c r="A21" s="1" t="s">
        <v>528</v>
      </c>
      <c r="B21" s="1" t="s">
        <v>1027</v>
      </c>
    </row>
    <row r="22" spans="1:2">
      <c r="A22" s="1" t="s">
        <v>579</v>
      </c>
      <c r="B22" s="1" t="s">
        <v>1029</v>
      </c>
    </row>
    <row r="23" spans="1:2">
      <c r="A23" s="1" t="s">
        <v>671</v>
      </c>
      <c r="B23" s="1" t="s">
        <v>1028</v>
      </c>
    </row>
    <row r="24" spans="1:2">
      <c r="A24" s="1" t="s">
        <v>694</v>
      </c>
      <c r="B24" s="1" t="s">
        <v>1030</v>
      </c>
    </row>
    <row r="25" spans="1:2">
      <c r="A25" s="1" t="s">
        <v>589</v>
      </c>
      <c r="B25" s="1" t="s">
        <v>1031</v>
      </c>
    </row>
    <row r="26" spans="1:2">
      <c r="A26" s="1" t="s">
        <v>604</v>
      </c>
      <c r="B26" s="1" t="s">
        <v>1032</v>
      </c>
    </row>
    <row r="27" spans="1:2">
      <c r="A27" s="1" t="s">
        <v>595</v>
      </c>
      <c r="B27" s="1" t="s">
        <v>1033</v>
      </c>
    </row>
    <row r="28" spans="1:2">
      <c r="A28" s="1" t="s">
        <v>658</v>
      </c>
      <c r="B28" s="1" t="s">
        <v>1034</v>
      </c>
    </row>
    <row r="29" spans="1:2">
      <c r="A29" s="1" t="s">
        <v>518</v>
      </c>
      <c r="B29" s="1" t="s">
        <v>1035</v>
      </c>
    </row>
    <row r="30" spans="1:2">
      <c r="A30" s="1" t="s">
        <v>531</v>
      </c>
      <c r="B30" s="1" t="s">
        <v>1037</v>
      </c>
    </row>
    <row r="31" spans="1:2">
      <c r="A31" s="1" t="s">
        <v>574</v>
      </c>
      <c r="B31" s="1" t="s">
        <v>1039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12466-E7A4-4D5D-A21A-D5E8F69AC811}">
  <dimension ref="A1:B16"/>
  <sheetViews>
    <sheetView showGridLines="0" workbookViewId="0">
      <selection activeCell="H9" sqref="H9"/>
    </sheetView>
  </sheetViews>
  <sheetFormatPr baseColWidth="10" defaultRowHeight="15"/>
  <cols>
    <col min="1" max="1" width="11.6640625" style="1" bestFit="1" customWidth="1"/>
    <col min="2" max="2" width="10" style="1" bestFit="1" customWidth="1"/>
    <col min="3" max="16384" width="10.6640625" style="1"/>
  </cols>
  <sheetData>
    <row r="1" spans="1:2">
      <c r="A1" s="1" t="s">
        <v>504</v>
      </c>
      <c r="B1" s="1" t="s">
        <v>1008</v>
      </c>
    </row>
    <row r="2" spans="1:2">
      <c r="A2" s="1" t="s">
        <v>543</v>
      </c>
      <c r="B2" s="1" t="s">
        <v>993</v>
      </c>
    </row>
    <row r="3" spans="1:2">
      <c r="A3" s="1" t="s">
        <v>547</v>
      </c>
      <c r="B3" s="1" t="s">
        <v>994</v>
      </c>
    </row>
    <row r="4" spans="1:2">
      <c r="A4" s="1" t="s">
        <v>538</v>
      </c>
      <c r="B4" s="1" t="s">
        <v>995</v>
      </c>
    </row>
    <row r="5" spans="1:2">
      <c r="A5" s="1" t="s">
        <v>519</v>
      </c>
      <c r="B5" s="1" t="s">
        <v>996</v>
      </c>
    </row>
    <row r="6" spans="1:2">
      <c r="A6" s="1" t="s">
        <v>584</v>
      </c>
      <c r="B6" s="1" t="s">
        <v>997</v>
      </c>
    </row>
    <row r="7" spans="1:2">
      <c r="A7" s="1" t="s">
        <v>529</v>
      </c>
      <c r="B7" s="1" t="s">
        <v>998</v>
      </c>
    </row>
    <row r="8" spans="1:2">
      <c r="A8" s="1" t="s">
        <v>559</v>
      </c>
      <c r="B8" s="1" t="s">
        <v>999</v>
      </c>
    </row>
    <row r="9" spans="1:2">
      <c r="A9" s="1" t="s">
        <v>569</v>
      </c>
      <c r="B9" s="1" t="s">
        <v>1000</v>
      </c>
    </row>
    <row r="10" spans="1:2">
      <c r="A10" s="1" t="s">
        <v>532</v>
      </c>
      <c r="B10" s="1" t="s">
        <v>1001</v>
      </c>
    </row>
    <row r="11" spans="1:2">
      <c r="A11" s="1" t="s">
        <v>586</v>
      </c>
      <c r="B11" s="1" t="s">
        <v>1002</v>
      </c>
    </row>
    <row r="12" spans="1:2">
      <c r="A12" s="1" t="s">
        <v>556</v>
      </c>
      <c r="B12" s="1" t="s">
        <v>1003</v>
      </c>
    </row>
    <row r="13" spans="1:2">
      <c r="A13" s="1" t="s">
        <v>525</v>
      </c>
      <c r="B13" s="1" t="s">
        <v>1004</v>
      </c>
    </row>
    <row r="14" spans="1:2">
      <c r="A14" s="1" t="s">
        <v>563</v>
      </c>
      <c r="B14" s="1" t="s">
        <v>1006</v>
      </c>
    </row>
    <row r="15" spans="1:2">
      <c r="A15" s="1" t="s">
        <v>553</v>
      </c>
      <c r="B15" s="1" t="s">
        <v>1007</v>
      </c>
    </row>
    <row r="16" spans="1:2">
      <c r="A16" s="1" t="s">
        <v>567</v>
      </c>
      <c r="B16" s="1" t="s">
        <v>1005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C5D00-4D4F-4CAF-861F-BB21BB2B6A7E}">
  <dimension ref="A1:G366"/>
  <sheetViews>
    <sheetView showGridLines="0" workbookViewId="0">
      <selection activeCell="D15" sqref="D15"/>
    </sheetView>
  </sheetViews>
  <sheetFormatPr baseColWidth="10" defaultRowHeight="15"/>
  <cols>
    <col min="1" max="1" width="9.75" style="5" bestFit="1" customWidth="1"/>
    <col min="2" max="2" width="7.08203125" style="5" bestFit="1" customWidth="1"/>
    <col min="3" max="4" width="13.4140625" style="5" bestFit="1" customWidth="1"/>
    <col min="5" max="5" width="11.83203125" style="5" bestFit="1" customWidth="1"/>
    <col min="6" max="6" width="6.6640625" style="5" bestFit="1" customWidth="1"/>
    <col min="7" max="7" width="12.9140625" style="5" bestFit="1" customWidth="1"/>
    <col min="8" max="16384" width="10.6640625" style="1"/>
  </cols>
  <sheetData>
    <row r="1" spans="1:7">
      <c r="A1" s="5" t="s">
        <v>502</v>
      </c>
      <c r="B1" s="5" t="s">
        <v>964</v>
      </c>
      <c r="C1" s="5" t="s">
        <v>965</v>
      </c>
      <c r="D1" s="5" t="s">
        <v>966</v>
      </c>
      <c r="E1" s="5" t="s">
        <v>967</v>
      </c>
      <c r="F1" s="5" t="s">
        <v>968</v>
      </c>
      <c r="G1" s="5" t="s">
        <v>969</v>
      </c>
    </row>
    <row r="2" spans="1:7">
      <c r="A2" s="6">
        <v>45839</v>
      </c>
      <c r="B2" s="5">
        <v>2025</v>
      </c>
      <c r="C2" s="5">
        <v>7</v>
      </c>
      <c r="D2" s="5" t="s">
        <v>970</v>
      </c>
      <c r="E2" s="5" t="s">
        <v>971</v>
      </c>
      <c r="F2" s="5">
        <v>1</v>
      </c>
      <c r="G2" s="5" t="s">
        <v>972</v>
      </c>
    </row>
    <row r="3" spans="1:7">
      <c r="A3" s="6">
        <v>45840</v>
      </c>
      <c r="B3" s="5">
        <v>2025</v>
      </c>
      <c r="C3" s="5">
        <v>7</v>
      </c>
      <c r="D3" s="5" t="s">
        <v>970</v>
      </c>
      <c r="E3" s="5" t="s">
        <v>971</v>
      </c>
      <c r="F3" s="5">
        <v>2</v>
      </c>
      <c r="G3" s="5" t="s">
        <v>973</v>
      </c>
    </row>
    <row r="4" spans="1:7">
      <c r="A4" s="6">
        <v>45841</v>
      </c>
      <c r="B4" s="5">
        <v>2025</v>
      </c>
      <c r="C4" s="5">
        <v>7</v>
      </c>
      <c r="D4" s="5" t="s">
        <v>970</v>
      </c>
      <c r="E4" s="5" t="s">
        <v>971</v>
      </c>
      <c r="F4" s="5">
        <v>3</v>
      </c>
      <c r="G4" s="5" t="s">
        <v>974</v>
      </c>
    </row>
    <row r="5" spans="1:7">
      <c r="A5" s="6">
        <v>45842</v>
      </c>
      <c r="B5" s="5">
        <v>2025</v>
      </c>
      <c r="C5" s="5">
        <v>7</v>
      </c>
      <c r="D5" s="5" t="s">
        <v>970</v>
      </c>
      <c r="E5" s="5" t="s">
        <v>971</v>
      </c>
      <c r="F5" s="5">
        <v>4</v>
      </c>
      <c r="G5" s="5" t="s">
        <v>975</v>
      </c>
    </row>
    <row r="6" spans="1:7">
      <c r="A6" s="6">
        <v>45843</v>
      </c>
      <c r="B6" s="5">
        <v>2025</v>
      </c>
      <c r="C6" s="5">
        <v>7</v>
      </c>
      <c r="D6" s="5" t="s">
        <v>970</v>
      </c>
      <c r="E6" s="5" t="s">
        <v>971</v>
      </c>
      <c r="F6" s="5">
        <v>5</v>
      </c>
      <c r="G6" s="5" t="s">
        <v>976</v>
      </c>
    </row>
    <row r="7" spans="1:7">
      <c r="A7" s="6">
        <v>45844</v>
      </c>
      <c r="B7" s="5">
        <v>2025</v>
      </c>
      <c r="C7" s="5">
        <v>7</v>
      </c>
      <c r="D7" s="5" t="s">
        <v>970</v>
      </c>
      <c r="E7" s="5" t="s">
        <v>971</v>
      </c>
      <c r="F7" s="5">
        <v>6</v>
      </c>
      <c r="G7" s="5" t="s">
        <v>977</v>
      </c>
    </row>
    <row r="8" spans="1:7">
      <c r="A8" s="6">
        <v>45845</v>
      </c>
      <c r="B8" s="5">
        <v>2025</v>
      </c>
      <c r="C8" s="5">
        <v>7</v>
      </c>
      <c r="D8" s="5" t="s">
        <v>970</v>
      </c>
      <c r="E8" s="5" t="s">
        <v>971</v>
      </c>
      <c r="F8" s="5">
        <v>7</v>
      </c>
      <c r="G8" s="5" t="s">
        <v>978</v>
      </c>
    </row>
    <row r="9" spans="1:7">
      <c r="A9" s="6">
        <v>45846</v>
      </c>
      <c r="B9" s="5">
        <v>2025</v>
      </c>
      <c r="C9" s="5">
        <v>7</v>
      </c>
      <c r="D9" s="5" t="s">
        <v>970</v>
      </c>
      <c r="E9" s="5" t="s">
        <v>971</v>
      </c>
      <c r="F9" s="5">
        <v>8</v>
      </c>
      <c r="G9" s="5" t="s">
        <v>972</v>
      </c>
    </row>
    <row r="10" spans="1:7">
      <c r="A10" s="6">
        <v>45847</v>
      </c>
      <c r="B10" s="5">
        <v>2025</v>
      </c>
      <c r="C10" s="5">
        <v>7</v>
      </c>
      <c r="D10" s="5" t="s">
        <v>970</v>
      </c>
      <c r="E10" s="5" t="s">
        <v>971</v>
      </c>
      <c r="F10" s="5">
        <v>9</v>
      </c>
      <c r="G10" s="5" t="s">
        <v>973</v>
      </c>
    </row>
    <row r="11" spans="1:7">
      <c r="A11" s="6">
        <v>45848</v>
      </c>
      <c r="B11" s="5">
        <v>2025</v>
      </c>
      <c r="C11" s="5">
        <v>7</v>
      </c>
      <c r="D11" s="5" t="s">
        <v>970</v>
      </c>
      <c r="E11" s="5" t="s">
        <v>971</v>
      </c>
      <c r="F11" s="5">
        <v>10</v>
      </c>
      <c r="G11" s="5" t="s">
        <v>974</v>
      </c>
    </row>
    <row r="12" spans="1:7">
      <c r="A12" s="6">
        <v>45849</v>
      </c>
      <c r="B12" s="5">
        <v>2025</v>
      </c>
      <c r="C12" s="5">
        <v>7</v>
      </c>
      <c r="D12" s="5" t="s">
        <v>970</v>
      </c>
      <c r="E12" s="5" t="s">
        <v>971</v>
      </c>
      <c r="F12" s="5">
        <v>11</v>
      </c>
      <c r="G12" s="5" t="s">
        <v>975</v>
      </c>
    </row>
    <row r="13" spans="1:7">
      <c r="A13" s="6">
        <v>45850</v>
      </c>
      <c r="B13" s="5">
        <v>2025</v>
      </c>
      <c r="C13" s="5">
        <v>7</v>
      </c>
      <c r="D13" s="5" t="s">
        <v>970</v>
      </c>
      <c r="E13" s="5" t="s">
        <v>971</v>
      </c>
      <c r="F13" s="5">
        <v>12</v>
      </c>
      <c r="G13" s="5" t="s">
        <v>976</v>
      </c>
    </row>
    <row r="14" spans="1:7">
      <c r="A14" s="6">
        <v>45851</v>
      </c>
      <c r="B14" s="5">
        <v>2025</v>
      </c>
      <c r="C14" s="5">
        <v>7</v>
      </c>
      <c r="D14" s="5" t="s">
        <v>970</v>
      </c>
      <c r="E14" s="5" t="s">
        <v>971</v>
      </c>
      <c r="F14" s="5">
        <v>13</v>
      </c>
      <c r="G14" s="5" t="s">
        <v>977</v>
      </c>
    </row>
    <row r="15" spans="1:7">
      <c r="A15" s="6">
        <v>45852</v>
      </c>
      <c r="B15" s="5">
        <v>2025</v>
      </c>
      <c r="C15" s="5">
        <v>7</v>
      </c>
      <c r="D15" s="5" t="s">
        <v>970</v>
      </c>
      <c r="E15" s="5" t="s">
        <v>971</v>
      </c>
      <c r="F15" s="5">
        <v>14</v>
      </c>
      <c r="G15" s="5" t="s">
        <v>978</v>
      </c>
    </row>
    <row r="16" spans="1:7">
      <c r="A16" s="6">
        <v>45853</v>
      </c>
      <c r="B16" s="5">
        <v>2025</v>
      </c>
      <c r="C16" s="5">
        <v>7</v>
      </c>
      <c r="D16" s="5" t="s">
        <v>970</v>
      </c>
      <c r="E16" s="5" t="s">
        <v>971</v>
      </c>
      <c r="F16" s="5">
        <v>15</v>
      </c>
      <c r="G16" s="5" t="s">
        <v>972</v>
      </c>
    </row>
    <row r="17" spans="1:7">
      <c r="A17" s="6">
        <v>45854</v>
      </c>
      <c r="B17" s="5">
        <v>2025</v>
      </c>
      <c r="C17" s="5">
        <v>7</v>
      </c>
      <c r="D17" s="5" t="s">
        <v>970</v>
      </c>
      <c r="E17" s="5" t="s">
        <v>971</v>
      </c>
      <c r="F17" s="5">
        <v>16</v>
      </c>
      <c r="G17" s="5" t="s">
        <v>973</v>
      </c>
    </row>
    <row r="18" spans="1:7">
      <c r="A18" s="6">
        <v>45855</v>
      </c>
      <c r="B18" s="5">
        <v>2025</v>
      </c>
      <c r="C18" s="5">
        <v>7</v>
      </c>
      <c r="D18" s="5" t="s">
        <v>970</v>
      </c>
      <c r="E18" s="5" t="s">
        <v>971</v>
      </c>
      <c r="F18" s="5">
        <v>17</v>
      </c>
      <c r="G18" s="5" t="s">
        <v>974</v>
      </c>
    </row>
    <row r="19" spans="1:7">
      <c r="A19" s="6">
        <v>45856</v>
      </c>
      <c r="B19" s="5">
        <v>2025</v>
      </c>
      <c r="C19" s="5">
        <v>7</v>
      </c>
      <c r="D19" s="5" t="s">
        <v>970</v>
      </c>
      <c r="E19" s="5" t="s">
        <v>971</v>
      </c>
      <c r="F19" s="5">
        <v>18</v>
      </c>
      <c r="G19" s="5" t="s">
        <v>975</v>
      </c>
    </row>
    <row r="20" spans="1:7">
      <c r="A20" s="6">
        <v>45857</v>
      </c>
      <c r="B20" s="5">
        <v>2025</v>
      </c>
      <c r="C20" s="5">
        <v>7</v>
      </c>
      <c r="D20" s="5" t="s">
        <v>970</v>
      </c>
      <c r="E20" s="5" t="s">
        <v>971</v>
      </c>
      <c r="F20" s="5">
        <v>19</v>
      </c>
      <c r="G20" s="5" t="s">
        <v>976</v>
      </c>
    </row>
    <row r="21" spans="1:7">
      <c r="A21" s="6">
        <v>45858</v>
      </c>
      <c r="B21" s="5">
        <v>2025</v>
      </c>
      <c r="C21" s="5">
        <v>7</v>
      </c>
      <c r="D21" s="5" t="s">
        <v>970</v>
      </c>
      <c r="E21" s="5" t="s">
        <v>971</v>
      </c>
      <c r="F21" s="5">
        <v>20</v>
      </c>
      <c r="G21" s="5" t="s">
        <v>977</v>
      </c>
    </row>
    <row r="22" spans="1:7">
      <c r="A22" s="6">
        <v>45859</v>
      </c>
      <c r="B22" s="5">
        <v>2025</v>
      </c>
      <c r="C22" s="5">
        <v>7</v>
      </c>
      <c r="D22" s="5" t="s">
        <v>970</v>
      </c>
      <c r="E22" s="5" t="s">
        <v>971</v>
      </c>
      <c r="F22" s="5">
        <v>21</v>
      </c>
      <c r="G22" s="5" t="s">
        <v>978</v>
      </c>
    </row>
    <row r="23" spans="1:7">
      <c r="A23" s="6">
        <v>45860</v>
      </c>
      <c r="B23" s="5">
        <v>2025</v>
      </c>
      <c r="C23" s="5">
        <v>7</v>
      </c>
      <c r="D23" s="5" t="s">
        <v>970</v>
      </c>
      <c r="E23" s="5" t="s">
        <v>971</v>
      </c>
      <c r="F23" s="5">
        <v>22</v>
      </c>
      <c r="G23" s="5" t="s">
        <v>972</v>
      </c>
    </row>
    <row r="24" spans="1:7">
      <c r="A24" s="6">
        <v>45861</v>
      </c>
      <c r="B24" s="5">
        <v>2025</v>
      </c>
      <c r="C24" s="5">
        <v>7</v>
      </c>
      <c r="D24" s="5" t="s">
        <v>970</v>
      </c>
      <c r="E24" s="5" t="s">
        <v>971</v>
      </c>
      <c r="F24" s="5">
        <v>23</v>
      </c>
      <c r="G24" s="5" t="s">
        <v>973</v>
      </c>
    </row>
    <row r="25" spans="1:7">
      <c r="A25" s="6">
        <v>45862</v>
      </c>
      <c r="B25" s="5">
        <v>2025</v>
      </c>
      <c r="C25" s="5">
        <v>7</v>
      </c>
      <c r="D25" s="5" t="s">
        <v>970</v>
      </c>
      <c r="E25" s="5" t="s">
        <v>971</v>
      </c>
      <c r="F25" s="5">
        <v>24</v>
      </c>
      <c r="G25" s="5" t="s">
        <v>974</v>
      </c>
    </row>
    <row r="26" spans="1:7">
      <c r="A26" s="6">
        <v>45863</v>
      </c>
      <c r="B26" s="5">
        <v>2025</v>
      </c>
      <c r="C26" s="5">
        <v>7</v>
      </c>
      <c r="D26" s="5" t="s">
        <v>970</v>
      </c>
      <c r="E26" s="5" t="s">
        <v>971</v>
      </c>
      <c r="F26" s="5">
        <v>25</v>
      </c>
      <c r="G26" s="5" t="s">
        <v>975</v>
      </c>
    </row>
    <row r="27" spans="1:7">
      <c r="A27" s="6">
        <v>45864</v>
      </c>
      <c r="B27" s="5">
        <v>2025</v>
      </c>
      <c r="C27" s="5">
        <v>7</v>
      </c>
      <c r="D27" s="5" t="s">
        <v>970</v>
      </c>
      <c r="E27" s="5" t="s">
        <v>971</v>
      </c>
      <c r="F27" s="5">
        <v>26</v>
      </c>
      <c r="G27" s="5" t="s">
        <v>976</v>
      </c>
    </row>
    <row r="28" spans="1:7">
      <c r="A28" s="6">
        <v>45865</v>
      </c>
      <c r="B28" s="5">
        <v>2025</v>
      </c>
      <c r="C28" s="5">
        <v>7</v>
      </c>
      <c r="D28" s="5" t="s">
        <v>970</v>
      </c>
      <c r="E28" s="5" t="s">
        <v>971</v>
      </c>
      <c r="F28" s="5">
        <v>27</v>
      </c>
      <c r="G28" s="5" t="s">
        <v>977</v>
      </c>
    </row>
    <row r="29" spans="1:7">
      <c r="A29" s="6">
        <v>45866</v>
      </c>
      <c r="B29" s="5">
        <v>2025</v>
      </c>
      <c r="C29" s="5">
        <v>7</v>
      </c>
      <c r="D29" s="5" t="s">
        <v>970</v>
      </c>
      <c r="E29" s="5" t="s">
        <v>971</v>
      </c>
      <c r="F29" s="5">
        <v>28</v>
      </c>
      <c r="G29" s="5" t="s">
        <v>978</v>
      </c>
    </row>
    <row r="30" spans="1:7">
      <c r="A30" s="6">
        <v>45867</v>
      </c>
      <c r="B30" s="5">
        <v>2025</v>
      </c>
      <c r="C30" s="5">
        <v>7</v>
      </c>
      <c r="D30" s="5" t="s">
        <v>970</v>
      </c>
      <c r="E30" s="5" t="s">
        <v>971</v>
      </c>
      <c r="F30" s="5">
        <v>29</v>
      </c>
      <c r="G30" s="5" t="s">
        <v>972</v>
      </c>
    </row>
    <row r="31" spans="1:7">
      <c r="A31" s="6">
        <v>45868</v>
      </c>
      <c r="B31" s="5">
        <v>2025</v>
      </c>
      <c r="C31" s="5">
        <v>7</v>
      </c>
      <c r="D31" s="5" t="s">
        <v>970</v>
      </c>
      <c r="E31" s="5" t="s">
        <v>971</v>
      </c>
      <c r="F31" s="5">
        <v>30</v>
      </c>
      <c r="G31" s="5" t="s">
        <v>973</v>
      </c>
    </row>
    <row r="32" spans="1:7">
      <c r="A32" s="6">
        <v>45869</v>
      </c>
      <c r="B32" s="5">
        <v>2025</v>
      </c>
      <c r="C32" s="5">
        <v>7</v>
      </c>
      <c r="D32" s="5" t="s">
        <v>970</v>
      </c>
      <c r="E32" s="5" t="s">
        <v>971</v>
      </c>
      <c r="F32" s="5">
        <v>31</v>
      </c>
      <c r="G32" s="5" t="s">
        <v>974</v>
      </c>
    </row>
    <row r="33" spans="1:7">
      <c r="A33" s="6">
        <v>45870</v>
      </c>
      <c r="B33" s="5">
        <v>2025</v>
      </c>
      <c r="C33" s="5">
        <v>8</v>
      </c>
      <c r="D33" s="5" t="s">
        <v>979</v>
      </c>
      <c r="E33" s="5" t="s">
        <v>971</v>
      </c>
      <c r="F33" s="5">
        <v>1</v>
      </c>
      <c r="G33" s="5" t="s">
        <v>975</v>
      </c>
    </row>
    <row r="34" spans="1:7">
      <c r="A34" s="6">
        <v>45871</v>
      </c>
      <c r="B34" s="5">
        <v>2025</v>
      </c>
      <c r="C34" s="5">
        <v>8</v>
      </c>
      <c r="D34" s="5" t="s">
        <v>979</v>
      </c>
      <c r="E34" s="5" t="s">
        <v>971</v>
      </c>
      <c r="F34" s="5">
        <v>2</v>
      </c>
      <c r="G34" s="5" t="s">
        <v>976</v>
      </c>
    </row>
    <row r="35" spans="1:7">
      <c r="A35" s="6">
        <v>45872</v>
      </c>
      <c r="B35" s="5">
        <v>2025</v>
      </c>
      <c r="C35" s="5">
        <v>8</v>
      </c>
      <c r="D35" s="5" t="s">
        <v>979</v>
      </c>
      <c r="E35" s="5" t="s">
        <v>971</v>
      </c>
      <c r="F35" s="5">
        <v>3</v>
      </c>
      <c r="G35" s="5" t="s">
        <v>977</v>
      </c>
    </row>
    <row r="36" spans="1:7">
      <c r="A36" s="6">
        <v>45873</v>
      </c>
      <c r="B36" s="5">
        <v>2025</v>
      </c>
      <c r="C36" s="5">
        <v>8</v>
      </c>
      <c r="D36" s="5" t="s">
        <v>979</v>
      </c>
      <c r="E36" s="5" t="s">
        <v>971</v>
      </c>
      <c r="F36" s="5">
        <v>4</v>
      </c>
      <c r="G36" s="5" t="s">
        <v>978</v>
      </c>
    </row>
    <row r="37" spans="1:7">
      <c r="A37" s="6">
        <v>45874</v>
      </c>
      <c r="B37" s="5">
        <v>2025</v>
      </c>
      <c r="C37" s="5">
        <v>8</v>
      </c>
      <c r="D37" s="5" t="s">
        <v>979</v>
      </c>
      <c r="E37" s="5" t="s">
        <v>971</v>
      </c>
      <c r="F37" s="5">
        <v>5</v>
      </c>
      <c r="G37" s="5" t="s">
        <v>972</v>
      </c>
    </row>
    <row r="38" spans="1:7">
      <c r="A38" s="6">
        <v>45875</v>
      </c>
      <c r="B38" s="5">
        <v>2025</v>
      </c>
      <c r="C38" s="5">
        <v>8</v>
      </c>
      <c r="D38" s="5" t="s">
        <v>979</v>
      </c>
      <c r="E38" s="5" t="s">
        <v>971</v>
      </c>
      <c r="F38" s="5">
        <v>6</v>
      </c>
      <c r="G38" s="5" t="s">
        <v>973</v>
      </c>
    </row>
    <row r="39" spans="1:7">
      <c r="A39" s="6">
        <v>45876</v>
      </c>
      <c r="B39" s="5">
        <v>2025</v>
      </c>
      <c r="C39" s="5">
        <v>8</v>
      </c>
      <c r="D39" s="5" t="s">
        <v>979</v>
      </c>
      <c r="E39" s="5" t="s">
        <v>971</v>
      </c>
      <c r="F39" s="5">
        <v>7</v>
      </c>
      <c r="G39" s="5" t="s">
        <v>974</v>
      </c>
    </row>
    <row r="40" spans="1:7">
      <c r="A40" s="6">
        <v>45877</v>
      </c>
      <c r="B40" s="5">
        <v>2025</v>
      </c>
      <c r="C40" s="5">
        <v>8</v>
      </c>
      <c r="D40" s="5" t="s">
        <v>979</v>
      </c>
      <c r="E40" s="5" t="s">
        <v>971</v>
      </c>
      <c r="F40" s="5">
        <v>8</v>
      </c>
      <c r="G40" s="5" t="s">
        <v>975</v>
      </c>
    </row>
    <row r="41" spans="1:7">
      <c r="A41" s="6">
        <v>45878</v>
      </c>
      <c r="B41" s="5">
        <v>2025</v>
      </c>
      <c r="C41" s="5">
        <v>8</v>
      </c>
      <c r="D41" s="5" t="s">
        <v>979</v>
      </c>
      <c r="E41" s="5" t="s">
        <v>971</v>
      </c>
      <c r="F41" s="5">
        <v>9</v>
      </c>
      <c r="G41" s="5" t="s">
        <v>976</v>
      </c>
    </row>
    <row r="42" spans="1:7">
      <c r="A42" s="6">
        <v>45879</v>
      </c>
      <c r="B42" s="5">
        <v>2025</v>
      </c>
      <c r="C42" s="5">
        <v>8</v>
      </c>
      <c r="D42" s="5" t="s">
        <v>979</v>
      </c>
      <c r="E42" s="5" t="s">
        <v>971</v>
      </c>
      <c r="F42" s="5">
        <v>10</v>
      </c>
      <c r="G42" s="5" t="s">
        <v>977</v>
      </c>
    </row>
    <row r="43" spans="1:7">
      <c r="A43" s="6">
        <v>45880</v>
      </c>
      <c r="B43" s="5">
        <v>2025</v>
      </c>
      <c r="C43" s="5">
        <v>8</v>
      </c>
      <c r="D43" s="5" t="s">
        <v>979</v>
      </c>
      <c r="E43" s="5" t="s">
        <v>971</v>
      </c>
      <c r="F43" s="5">
        <v>11</v>
      </c>
      <c r="G43" s="5" t="s">
        <v>978</v>
      </c>
    </row>
    <row r="44" spans="1:7">
      <c r="A44" s="6">
        <v>45881</v>
      </c>
      <c r="B44" s="5">
        <v>2025</v>
      </c>
      <c r="C44" s="5">
        <v>8</v>
      </c>
      <c r="D44" s="5" t="s">
        <v>979</v>
      </c>
      <c r="E44" s="5" t="s">
        <v>971</v>
      </c>
      <c r="F44" s="5">
        <v>12</v>
      </c>
      <c r="G44" s="5" t="s">
        <v>972</v>
      </c>
    </row>
    <row r="45" spans="1:7">
      <c r="A45" s="6">
        <v>45882</v>
      </c>
      <c r="B45" s="5">
        <v>2025</v>
      </c>
      <c r="C45" s="5">
        <v>8</v>
      </c>
      <c r="D45" s="5" t="s">
        <v>979</v>
      </c>
      <c r="E45" s="5" t="s">
        <v>971</v>
      </c>
      <c r="F45" s="5">
        <v>13</v>
      </c>
      <c r="G45" s="5" t="s">
        <v>973</v>
      </c>
    </row>
    <row r="46" spans="1:7">
      <c r="A46" s="6">
        <v>45883</v>
      </c>
      <c r="B46" s="5">
        <v>2025</v>
      </c>
      <c r="C46" s="5">
        <v>8</v>
      </c>
      <c r="D46" s="5" t="s">
        <v>979</v>
      </c>
      <c r="E46" s="5" t="s">
        <v>971</v>
      </c>
      <c r="F46" s="5">
        <v>14</v>
      </c>
      <c r="G46" s="5" t="s">
        <v>974</v>
      </c>
    </row>
    <row r="47" spans="1:7">
      <c r="A47" s="6">
        <v>45884</v>
      </c>
      <c r="B47" s="5">
        <v>2025</v>
      </c>
      <c r="C47" s="5">
        <v>8</v>
      </c>
      <c r="D47" s="5" t="s">
        <v>979</v>
      </c>
      <c r="E47" s="5" t="s">
        <v>971</v>
      </c>
      <c r="F47" s="5">
        <v>15</v>
      </c>
      <c r="G47" s="5" t="s">
        <v>975</v>
      </c>
    </row>
    <row r="48" spans="1:7">
      <c r="A48" s="6">
        <v>45885</v>
      </c>
      <c r="B48" s="5">
        <v>2025</v>
      </c>
      <c r="C48" s="5">
        <v>8</v>
      </c>
      <c r="D48" s="5" t="s">
        <v>979</v>
      </c>
      <c r="E48" s="5" t="s">
        <v>971</v>
      </c>
      <c r="F48" s="5">
        <v>16</v>
      </c>
      <c r="G48" s="5" t="s">
        <v>976</v>
      </c>
    </row>
    <row r="49" spans="1:7">
      <c r="A49" s="6">
        <v>45886</v>
      </c>
      <c r="B49" s="5">
        <v>2025</v>
      </c>
      <c r="C49" s="5">
        <v>8</v>
      </c>
      <c r="D49" s="5" t="s">
        <v>979</v>
      </c>
      <c r="E49" s="5" t="s">
        <v>971</v>
      </c>
      <c r="F49" s="5">
        <v>17</v>
      </c>
      <c r="G49" s="5" t="s">
        <v>977</v>
      </c>
    </row>
    <row r="50" spans="1:7">
      <c r="A50" s="6">
        <v>45887</v>
      </c>
      <c r="B50" s="5">
        <v>2025</v>
      </c>
      <c r="C50" s="5">
        <v>8</v>
      </c>
      <c r="D50" s="5" t="s">
        <v>979</v>
      </c>
      <c r="E50" s="5" t="s">
        <v>971</v>
      </c>
      <c r="F50" s="5">
        <v>18</v>
      </c>
      <c r="G50" s="5" t="s">
        <v>978</v>
      </c>
    </row>
    <row r="51" spans="1:7">
      <c r="A51" s="6">
        <v>45888</v>
      </c>
      <c r="B51" s="5">
        <v>2025</v>
      </c>
      <c r="C51" s="5">
        <v>8</v>
      </c>
      <c r="D51" s="5" t="s">
        <v>979</v>
      </c>
      <c r="E51" s="5" t="s">
        <v>971</v>
      </c>
      <c r="F51" s="5">
        <v>19</v>
      </c>
      <c r="G51" s="5" t="s">
        <v>972</v>
      </c>
    </row>
    <row r="52" spans="1:7">
      <c r="A52" s="6">
        <v>45889</v>
      </c>
      <c r="B52" s="5">
        <v>2025</v>
      </c>
      <c r="C52" s="5">
        <v>8</v>
      </c>
      <c r="D52" s="5" t="s">
        <v>979</v>
      </c>
      <c r="E52" s="5" t="s">
        <v>971</v>
      </c>
      <c r="F52" s="5">
        <v>20</v>
      </c>
      <c r="G52" s="5" t="s">
        <v>973</v>
      </c>
    </row>
    <row r="53" spans="1:7">
      <c r="A53" s="6">
        <v>45890</v>
      </c>
      <c r="B53" s="5">
        <v>2025</v>
      </c>
      <c r="C53" s="5">
        <v>8</v>
      </c>
      <c r="D53" s="5" t="s">
        <v>979</v>
      </c>
      <c r="E53" s="5" t="s">
        <v>971</v>
      </c>
      <c r="F53" s="5">
        <v>21</v>
      </c>
      <c r="G53" s="5" t="s">
        <v>974</v>
      </c>
    </row>
    <row r="54" spans="1:7">
      <c r="A54" s="6">
        <v>45891</v>
      </c>
      <c r="B54" s="5">
        <v>2025</v>
      </c>
      <c r="C54" s="5">
        <v>8</v>
      </c>
      <c r="D54" s="5" t="s">
        <v>979</v>
      </c>
      <c r="E54" s="5" t="s">
        <v>971</v>
      </c>
      <c r="F54" s="5">
        <v>22</v>
      </c>
      <c r="G54" s="5" t="s">
        <v>975</v>
      </c>
    </row>
    <row r="55" spans="1:7">
      <c r="A55" s="6">
        <v>45892</v>
      </c>
      <c r="B55" s="5">
        <v>2025</v>
      </c>
      <c r="C55" s="5">
        <v>8</v>
      </c>
      <c r="D55" s="5" t="s">
        <v>979</v>
      </c>
      <c r="E55" s="5" t="s">
        <v>971</v>
      </c>
      <c r="F55" s="5">
        <v>23</v>
      </c>
      <c r="G55" s="5" t="s">
        <v>976</v>
      </c>
    </row>
    <row r="56" spans="1:7">
      <c r="A56" s="6">
        <v>45893</v>
      </c>
      <c r="B56" s="5">
        <v>2025</v>
      </c>
      <c r="C56" s="5">
        <v>8</v>
      </c>
      <c r="D56" s="5" t="s">
        <v>979</v>
      </c>
      <c r="E56" s="5" t="s">
        <v>971</v>
      </c>
      <c r="F56" s="5">
        <v>24</v>
      </c>
      <c r="G56" s="5" t="s">
        <v>977</v>
      </c>
    </row>
    <row r="57" spans="1:7">
      <c r="A57" s="6">
        <v>45894</v>
      </c>
      <c r="B57" s="5">
        <v>2025</v>
      </c>
      <c r="C57" s="5">
        <v>8</v>
      </c>
      <c r="D57" s="5" t="s">
        <v>979</v>
      </c>
      <c r="E57" s="5" t="s">
        <v>971</v>
      </c>
      <c r="F57" s="5">
        <v>25</v>
      </c>
      <c r="G57" s="5" t="s">
        <v>978</v>
      </c>
    </row>
    <row r="58" spans="1:7">
      <c r="A58" s="6">
        <v>45895</v>
      </c>
      <c r="B58" s="5">
        <v>2025</v>
      </c>
      <c r="C58" s="5">
        <v>8</v>
      </c>
      <c r="D58" s="5" t="s">
        <v>979</v>
      </c>
      <c r="E58" s="5" t="s">
        <v>971</v>
      </c>
      <c r="F58" s="5">
        <v>26</v>
      </c>
      <c r="G58" s="5" t="s">
        <v>972</v>
      </c>
    </row>
    <row r="59" spans="1:7">
      <c r="A59" s="6">
        <v>45896</v>
      </c>
      <c r="B59" s="5">
        <v>2025</v>
      </c>
      <c r="C59" s="5">
        <v>8</v>
      </c>
      <c r="D59" s="5" t="s">
        <v>979</v>
      </c>
      <c r="E59" s="5" t="s">
        <v>971</v>
      </c>
      <c r="F59" s="5">
        <v>27</v>
      </c>
      <c r="G59" s="5" t="s">
        <v>973</v>
      </c>
    </row>
    <row r="60" spans="1:7">
      <c r="A60" s="6">
        <v>45897</v>
      </c>
      <c r="B60" s="5">
        <v>2025</v>
      </c>
      <c r="C60" s="5">
        <v>8</v>
      </c>
      <c r="D60" s="5" t="s">
        <v>979</v>
      </c>
      <c r="E60" s="5" t="s">
        <v>971</v>
      </c>
      <c r="F60" s="5">
        <v>28</v>
      </c>
      <c r="G60" s="5" t="s">
        <v>974</v>
      </c>
    </row>
    <row r="61" spans="1:7">
      <c r="A61" s="6">
        <v>45898</v>
      </c>
      <c r="B61" s="5">
        <v>2025</v>
      </c>
      <c r="C61" s="5">
        <v>8</v>
      </c>
      <c r="D61" s="5" t="s">
        <v>979</v>
      </c>
      <c r="E61" s="5" t="s">
        <v>971</v>
      </c>
      <c r="F61" s="5">
        <v>29</v>
      </c>
      <c r="G61" s="5" t="s">
        <v>975</v>
      </c>
    </row>
    <row r="62" spans="1:7">
      <c r="A62" s="6">
        <v>45899</v>
      </c>
      <c r="B62" s="5">
        <v>2025</v>
      </c>
      <c r="C62" s="5">
        <v>8</v>
      </c>
      <c r="D62" s="5" t="s">
        <v>979</v>
      </c>
      <c r="E62" s="5" t="s">
        <v>971</v>
      </c>
      <c r="F62" s="5">
        <v>30</v>
      </c>
      <c r="G62" s="5" t="s">
        <v>976</v>
      </c>
    </row>
    <row r="63" spans="1:7">
      <c r="A63" s="6">
        <v>45900</v>
      </c>
      <c r="B63" s="5">
        <v>2025</v>
      </c>
      <c r="C63" s="5">
        <v>8</v>
      </c>
      <c r="D63" s="5" t="s">
        <v>979</v>
      </c>
      <c r="E63" s="5" t="s">
        <v>971</v>
      </c>
      <c r="F63" s="5">
        <v>31</v>
      </c>
      <c r="G63" s="5" t="s">
        <v>977</v>
      </c>
    </row>
    <row r="64" spans="1:7">
      <c r="A64" s="6">
        <v>45901</v>
      </c>
      <c r="B64" s="5">
        <v>2025</v>
      </c>
      <c r="C64" s="5">
        <v>9</v>
      </c>
      <c r="D64" s="5" t="s">
        <v>980</v>
      </c>
      <c r="E64" s="5" t="s">
        <v>971</v>
      </c>
      <c r="F64" s="5">
        <v>1</v>
      </c>
      <c r="G64" s="5" t="s">
        <v>978</v>
      </c>
    </row>
    <row r="65" spans="1:7">
      <c r="A65" s="6">
        <v>45902</v>
      </c>
      <c r="B65" s="5">
        <v>2025</v>
      </c>
      <c r="C65" s="5">
        <v>9</v>
      </c>
      <c r="D65" s="5" t="s">
        <v>980</v>
      </c>
      <c r="E65" s="5" t="s">
        <v>971</v>
      </c>
      <c r="F65" s="5">
        <v>2</v>
      </c>
      <c r="G65" s="5" t="s">
        <v>972</v>
      </c>
    </row>
    <row r="66" spans="1:7">
      <c r="A66" s="6">
        <v>45903</v>
      </c>
      <c r="B66" s="5">
        <v>2025</v>
      </c>
      <c r="C66" s="5">
        <v>9</v>
      </c>
      <c r="D66" s="5" t="s">
        <v>980</v>
      </c>
      <c r="E66" s="5" t="s">
        <v>971</v>
      </c>
      <c r="F66" s="5">
        <v>3</v>
      </c>
      <c r="G66" s="5" t="s">
        <v>973</v>
      </c>
    </row>
    <row r="67" spans="1:7">
      <c r="A67" s="6">
        <v>45904</v>
      </c>
      <c r="B67" s="5">
        <v>2025</v>
      </c>
      <c r="C67" s="5">
        <v>9</v>
      </c>
      <c r="D67" s="5" t="s">
        <v>980</v>
      </c>
      <c r="E67" s="5" t="s">
        <v>971</v>
      </c>
      <c r="F67" s="5">
        <v>4</v>
      </c>
      <c r="G67" s="5" t="s">
        <v>974</v>
      </c>
    </row>
    <row r="68" spans="1:7">
      <c r="A68" s="6">
        <v>45905</v>
      </c>
      <c r="B68" s="5">
        <v>2025</v>
      </c>
      <c r="C68" s="5">
        <v>9</v>
      </c>
      <c r="D68" s="5" t="s">
        <v>980</v>
      </c>
      <c r="E68" s="5" t="s">
        <v>971</v>
      </c>
      <c r="F68" s="5">
        <v>5</v>
      </c>
      <c r="G68" s="5" t="s">
        <v>975</v>
      </c>
    </row>
    <row r="69" spans="1:7">
      <c r="A69" s="6">
        <v>45906</v>
      </c>
      <c r="B69" s="5">
        <v>2025</v>
      </c>
      <c r="C69" s="5">
        <v>9</v>
      </c>
      <c r="D69" s="5" t="s">
        <v>980</v>
      </c>
      <c r="E69" s="5" t="s">
        <v>971</v>
      </c>
      <c r="F69" s="5">
        <v>6</v>
      </c>
      <c r="G69" s="5" t="s">
        <v>976</v>
      </c>
    </row>
    <row r="70" spans="1:7">
      <c r="A70" s="6">
        <v>45907</v>
      </c>
      <c r="B70" s="5">
        <v>2025</v>
      </c>
      <c r="C70" s="5">
        <v>9</v>
      </c>
      <c r="D70" s="5" t="s">
        <v>980</v>
      </c>
      <c r="E70" s="5" t="s">
        <v>971</v>
      </c>
      <c r="F70" s="5">
        <v>7</v>
      </c>
      <c r="G70" s="5" t="s">
        <v>977</v>
      </c>
    </row>
    <row r="71" spans="1:7">
      <c r="A71" s="6">
        <v>45908</v>
      </c>
      <c r="B71" s="5">
        <v>2025</v>
      </c>
      <c r="C71" s="5">
        <v>9</v>
      </c>
      <c r="D71" s="5" t="s">
        <v>980</v>
      </c>
      <c r="E71" s="5" t="s">
        <v>971</v>
      </c>
      <c r="F71" s="5">
        <v>8</v>
      </c>
      <c r="G71" s="5" t="s">
        <v>978</v>
      </c>
    </row>
    <row r="72" spans="1:7">
      <c r="A72" s="6">
        <v>45909</v>
      </c>
      <c r="B72" s="5">
        <v>2025</v>
      </c>
      <c r="C72" s="5">
        <v>9</v>
      </c>
      <c r="D72" s="5" t="s">
        <v>980</v>
      </c>
      <c r="E72" s="5" t="s">
        <v>971</v>
      </c>
      <c r="F72" s="5">
        <v>9</v>
      </c>
      <c r="G72" s="5" t="s">
        <v>972</v>
      </c>
    </row>
    <row r="73" spans="1:7">
      <c r="A73" s="6">
        <v>45910</v>
      </c>
      <c r="B73" s="5">
        <v>2025</v>
      </c>
      <c r="C73" s="5">
        <v>9</v>
      </c>
      <c r="D73" s="5" t="s">
        <v>980</v>
      </c>
      <c r="E73" s="5" t="s">
        <v>971</v>
      </c>
      <c r="F73" s="5">
        <v>10</v>
      </c>
      <c r="G73" s="5" t="s">
        <v>973</v>
      </c>
    </row>
    <row r="74" spans="1:7">
      <c r="A74" s="6">
        <v>45911</v>
      </c>
      <c r="B74" s="5">
        <v>2025</v>
      </c>
      <c r="C74" s="5">
        <v>9</v>
      </c>
      <c r="D74" s="5" t="s">
        <v>980</v>
      </c>
      <c r="E74" s="5" t="s">
        <v>971</v>
      </c>
      <c r="F74" s="5">
        <v>11</v>
      </c>
      <c r="G74" s="5" t="s">
        <v>974</v>
      </c>
    </row>
    <row r="75" spans="1:7">
      <c r="A75" s="6">
        <v>45912</v>
      </c>
      <c r="B75" s="5">
        <v>2025</v>
      </c>
      <c r="C75" s="5">
        <v>9</v>
      </c>
      <c r="D75" s="5" t="s">
        <v>980</v>
      </c>
      <c r="E75" s="5" t="s">
        <v>971</v>
      </c>
      <c r="F75" s="5">
        <v>12</v>
      </c>
      <c r="G75" s="5" t="s">
        <v>975</v>
      </c>
    </row>
    <row r="76" spans="1:7">
      <c r="A76" s="6">
        <v>45913</v>
      </c>
      <c r="B76" s="5">
        <v>2025</v>
      </c>
      <c r="C76" s="5">
        <v>9</v>
      </c>
      <c r="D76" s="5" t="s">
        <v>980</v>
      </c>
      <c r="E76" s="5" t="s">
        <v>971</v>
      </c>
      <c r="F76" s="5">
        <v>13</v>
      </c>
      <c r="G76" s="5" t="s">
        <v>976</v>
      </c>
    </row>
    <row r="77" spans="1:7">
      <c r="A77" s="6">
        <v>45914</v>
      </c>
      <c r="B77" s="5">
        <v>2025</v>
      </c>
      <c r="C77" s="5">
        <v>9</v>
      </c>
      <c r="D77" s="5" t="s">
        <v>980</v>
      </c>
      <c r="E77" s="5" t="s">
        <v>971</v>
      </c>
      <c r="F77" s="5">
        <v>14</v>
      </c>
      <c r="G77" s="5" t="s">
        <v>977</v>
      </c>
    </row>
    <row r="78" spans="1:7">
      <c r="A78" s="6">
        <v>45915</v>
      </c>
      <c r="B78" s="5">
        <v>2025</v>
      </c>
      <c r="C78" s="5">
        <v>9</v>
      </c>
      <c r="D78" s="5" t="s">
        <v>980</v>
      </c>
      <c r="E78" s="5" t="s">
        <v>971</v>
      </c>
      <c r="F78" s="5">
        <v>15</v>
      </c>
      <c r="G78" s="5" t="s">
        <v>978</v>
      </c>
    </row>
    <row r="79" spans="1:7">
      <c r="A79" s="6">
        <v>45916</v>
      </c>
      <c r="B79" s="5">
        <v>2025</v>
      </c>
      <c r="C79" s="5">
        <v>9</v>
      </c>
      <c r="D79" s="5" t="s">
        <v>980</v>
      </c>
      <c r="E79" s="5" t="s">
        <v>971</v>
      </c>
      <c r="F79" s="5">
        <v>16</v>
      </c>
      <c r="G79" s="5" t="s">
        <v>972</v>
      </c>
    </row>
    <row r="80" spans="1:7">
      <c r="A80" s="6">
        <v>45917</v>
      </c>
      <c r="B80" s="5">
        <v>2025</v>
      </c>
      <c r="C80" s="5">
        <v>9</v>
      </c>
      <c r="D80" s="5" t="s">
        <v>980</v>
      </c>
      <c r="E80" s="5" t="s">
        <v>971</v>
      </c>
      <c r="F80" s="5">
        <v>17</v>
      </c>
      <c r="G80" s="5" t="s">
        <v>973</v>
      </c>
    </row>
    <row r="81" spans="1:7">
      <c r="A81" s="6">
        <v>45918</v>
      </c>
      <c r="B81" s="5">
        <v>2025</v>
      </c>
      <c r="C81" s="5">
        <v>9</v>
      </c>
      <c r="D81" s="5" t="s">
        <v>980</v>
      </c>
      <c r="E81" s="5" t="s">
        <v>971</v>
      </c>
      <c r="F81" s="5">
        <v>18</v>
      </c>
      <c r="G81" s="5" t="s">
        <v>974</v>
      </c>
    </row>
    <row r="82" spans="1:7">
      <c r="A82" s="6">
        <v>45919</v>
      </c>
      <c r="B82" s="5">
        <v>2025</v>
      </c>
      <c r="C82" s="5">
        <v>9</v>
      </c>
      <c r="D82" s="5" t="s">
        <v>980</v>
      </c>
      <c r="E82" s="5" t="s">
        <v>971</v>
      </c>
      <c r="F82" s="5">
        <v>19</v>
      </c>
      <c r="G82" s="5" t="s">
        <v>975</v>
      </c>
    </row>
    <row r="83" spans="1:7">
      <c r="A83" s="6">
        <v>45920</v>
      </c>
      <c r="B83" s="5">
        <v>2025</v>
      </c>
      <c r="C83" s="5">
        <v>9</v>
      </c>
      <c r="D83" s="5" t="s">
        <v>980</v>
      </c>
      <c r="E83" s="5" t="s">
        <v>971</v>
      </c>
      <c r="F83" s="5">
        <v>20</v>
      </c>
      <c r="G83" s="5" t="s">
        <v>976</v>
      </c>
    </row>
    <row r="84" spans="1:7">
      <c r="A84" s="6">
        <v>45921</v>
      </c>
      <c r="B84" s="5">
        <v>2025</v>
      </c>
      <c r="C84" s="5">
        <v>9</v>
      </c>
      <c r="D84" s="5" t="s">
        <v>980</v>
      </c>
      <c r="E84" s="5" t="s">
        <v>971</v>
      </c>
      <c r="F84" s="5">
        <v>21</v>
      </c>
      <c r="G84" s="5" t="s">
        <v>977</v>
      </c>
    </row>
    <row r="85" spans="1:7">
      <c r="A85" s="6">
        <v>45922</v>
      </c>
      <c r="B85" s="5">
        <v>2025</v>
      </c>
      <c r="C85" s="5">
        <v>9</v>
      </c>
      <c r="D85" s="5" t="s">
        <v>980</v>
      </c>
      <c r="E85" s="5" t="s">
        <v>971</v>
      </c>
      <c r="F85" s="5">
        <v>22</v>
      </c>
      <c r="G85" s="5" t="s">
        <v>978</v>
      </c>
    </row>
    <row r="86" spans="1:7">
      <c r="A86" s="6">
        <v>45923</v>
      </c>
      <c r="B86" s="5">
        <v>2025</v>
      </c>
      <c r="C86" s="5">
        <v>9</v>
      </c>
      <c r="D86" s="5" t="s">
        <v>980</v>
      </c>
      <c r="E86" s="5" t="s">
        <v>971</v>
      </c>
      <c r="F86" s="5">
        <v>23</v>
      </c>
      <c r="G86" s="5" t="s">
        <v>972</v>
      </c>
    </row>
    <row r="87" spans="1:7">
      <c r="A87" s="6">
        <v>45924</v>
      </c>
      <c r="B87" s="5">
        <v>2025</v>
      </c>
      <c r="C87" s="5">
        <v>9</v>
      </c>
      <c r="D87" s="5" t="s">
        <v>980</v>
      </c>
      <c r="E87" s="5" t="s">
        <v>971</v>
      </c>
      <c r="F87" s="5">
        <v>24</v>
      </c>
      <c r="G87" s="5" t="s">
        <v>973</v>
      </c>
    </row>
    <row r="88" spans="1:7">
      <c r="A88" s="6">
        <v>45925</v>
      </c>
      <c r="B88" s="5">
        <v>2025</v>
      </c>
      <c r="C88" s="5">
        <v>9</v>
      </c>
      <c r="D88" s="5" t="s">
        <v>980</v>
      </c>
      <c r="E88" s="5" t="s">
        <v>971</v>
      </c>
      <c r="F88" s="5">
        <v>25</v>
      </c>
      <c r="G88" s="5" t="s">
        <v>974</v>
      </c>
    </row>
    <row r="89" spans="1:7">
      <c r="A89" s="6">
        <v>45926</v>
      </c>
      <c r="B89" s="5">
        <v>2025</v>
      </c>
      <c r="C89" s="5">
        <v>9</v>
      </c>
      <c r="D89" s="5" t="s">
        <v>980</v>
      </c>
      <c r="E89" s="5" t="s">
        <v>971</v>
      </c>
      <c r="F89" s="5">
        <v>26</v>
      </c>
      <c r="G89" s="5" t="s">
        <v>975</v>
      </c>
    </row>
    <row r="90" spans="1:7">
      <c r="A90" s="6">
        <v>45927</v>
      </c>
      <c r="B90" s="5">
        <v>2025</v>
      </c>
      <c r="C90" s="5">
        <v>9</v>
      </c>
      <c r="D90" s="5" t="s">
        <v>980</v>
      </c>
      <c r="E90" s="5" t="s">
        <v>971</v>
      </c>
      <c r="F90" s="5">
        <v>27</v>
      </c>
      <c r="G90" s="5" t="s">
        <v>976</v>
      </c>
    </row>
    <row r="91" spans="1:7">
      <c r="A91" s="6">
        <v>45928</v>
      </c>
      <c r="B91" s="5">
        <v>2025</v>
      </c>
      <c r="C91" s="5">
        <v>9</v>
      </c>
      <c r="D91" s="5" t="s">
        <v>980</v>
      </c>
      <c r="E91" s="5" t="s">
        <v>971</v>
      </c>
      <c r="F91" s="5">
        <v>28</v>
      </c>
      <c r="G91" s="5" t="s">
        <v>977</v>
      </c>
    </row>
    <row r="92" spans="1:7">
      <c r="A92" s="6">
        <v>45929</v>
      </c>
      <c r="B92" s="5">
        <v>2025</v>
      </c>
      <c r="C92" s="5">
        <v>9</v>
      </c>
      <c r="D92" s="5" t="s">
        <v>980</v>
      </c>
      <c r="E92" s="5" t="s">
        <v>971</v>
      </c>
      <c r="F92" s="5">
        <v>29</v>
      </c>
      <c r="G92" s="5" t="s">
        <v>978</v>
      </c>
    </row>
    <row r="93" spans="1:7">
      <c r="A93" s="6">
        <v>45930</v>
      </c>
      <c r="B93" s="5">
        <v>2025</v>
      </c>
      <c r="C93" s="5">
        <v>9</v>
      </c>
      <c r="D93" s="5" t="s">
        <v>980</v>
      </c>
      <c r="E93" s="5" t="s">
        <v>971</v>
      </c>
      <c r="F93" s="5">
        <v>30</v>
      </c>
      <c r="G93" s="5" t="s">
        <v>972</v>
      </c>
    </row>
    <row r="94" spans="1:7">
      <c r="A94" s="6">
        <v>45748</v>
      </c>
      <c r="B94" s="5">
        <v>2025</v>
      </c>
      <c r="C94" s="5">
        <v>4</v>
      </c>
      <c r="D94" s="5" t="s">
        <v>981</v>
      </c>
      <c r="E94" s="5" t="s">
        <v>982</v>
      </c>
      <c r="F94" s="5">
        <v>1</v>
      </c>
      <c r="G94" s="5" t="s">
        <v>972</v>
      </c>
    </row>
    <row r="95" spans="1:7">
      <c r="A95" s="6">
        <v>45749</v>
      </c>
      <c r="B95" s="5">
        <v>2025</v>
      </c>
      <c r="C95" s="5">
        <v>4</v>
      </c>
      <c r="D95" s="5" t="s">
        <v>981</v>
      </c>
      <c r="E95" s="5" t="s">
        <v>982</v>
      </c>
      <c r="F95" s="5">
        <v>2</v>
      </c>
      <c r="G95" s="5" t="s">
        <v>973</v>
      </c>
    </row>
    <row r="96" spans="1:7">
      <c r="A96" s="6">
        <v>45750</v>
      </c>
      <c r="B96" s="5">
        <v>2025</v>
      </c>
      <c r="C96" s="5">
        <v>4</v>
      </c>
      <c r="D96" s="5" t="s">
        <v>981</v>
      </c>
      <c r="E96" s="5" t="s">
        <v>982</v>
      </c>
      <c r="F96" s="5">
        <v>3</v>
      </c>
      <c r="G96" s="5" t="s">
        <v>974</v>
      </c>
    </row>
    <row r="97" spans="1:7">
      <c r="A97" s="6">
        <v>45751</v>
      </c>
      <c r="B97" s="5">
        <v>2025</v>
      </c>
      <c r="C97" s="5">
        <v>4</v>
      </c>
      <c r="D97" s="5" t="s">
        <v>981</v>
      </c>
      <c r="E97" s="5" t="s">
        <v>982</v>
      </c>
      <c r="F97" s="5">
        <v>4</v>
      </c>
      <c r="G97" s="5" t="s">
        <v>975</v>
      </c>
    </row>
    <row r="98" spans="1:7">
      <c r="A98" s="6">
        <v>45752</v>
      </c>
      <c r="B98" s="5">
        <v>2025</v>
      </c>
      <c r="C98" s="5">
        <v>4</v>
      </c>
      <c r="D98" s="5" t="s">
        <v>981</v>
      </c>
      <c r="E98" s="5" t="s">
        <v>982</v>
      </c>
      <c r="F98" s="5">
        <v>5</v>
      </c>
      <c r="G98" s="5" t="s">
        <v>976</v>
      </c>
    </row>
    <row r="99" spans="1:7">
      <c r="A99" s="6">
        <v>45753</v>
      </c>
      <c r="B99" s="5">
        <v>2025</v>
      </c>
      <c r="C99" s="5">
        <v>4</v>
      </c>
      <c r="D99" s="5" t="s">
        <v>981</v>
      </c>
      <c r="E99" s="5" t="s">
        <v>982</v>
      </c>
      <c r="F99" s="5">
        <v>6</v>
      </c>
      <c r="G99" s="5" t="s">
        <v>977</v>
      </c>
    </row>
    <row r="100" spans="1:7">
      <c r="A100" s="6">
        <v>45754</v>
      </c>
      <c r="B100" s="5">
        <v>2025</v>
      </c>
      <c r="C100" s="5">
        <v>4</v>
      </c>
      <c r="D100" s="5" t="s">
        <v>981</v>
      </c>
      <c r="E100" s="5" t="s">
        <v>982</v>
      </c>
      <c r="F100" s="5">
        <v>7</v>
      </c>
      <c r="G100" s="5" t="s">
        <v>978</v>
      </c>
    </row>
    <row r="101" spans="1:7">
      <c r="A101" s="6">
        <v>45755</v>
      </c>
      <c r="B101" s="5">
        <v>2025</v>
      </c>
      <c r="C101" s="5">
        <v>4</v>
      </c>
      <c r="D101" s="5" t="s">
        <v>981</v>
      </c>
      <c r="E101" s="5" t="s">
        <v>982</v>
      </c>
      <c r="F101" s="5">
        <v>8</v>
      </c>
      <c r="G101" s="5" t="s">
        <v>972</v>
      </c>
    </row>
    <row r="102" spans="1:7">
      <c r="A102" s="6">
        <v>45756</v>
      </c>
      <c r="B102" s="5">
        <v>2025</v>
      </c>
      <c r="C102" s="5">
        <v>4</v>
      </c>
      <c r="D102" s="5" t="s">
        <v>981</v>
      </c>
      <c r="E102" s="5" t="s">
        <v>982</v>
      </c>
      <c r="F102" s="5">
        <v>9</v>
      </c>
      <c r="G102" s="5" t="s">
        <v>973</v>
      </c>
    </row>
    <row r="103" spans="1:7">
      <c r="A103" s="6">
        <v>45757</v>
      </c>
      <c r="B103" s="5">
        <v>2025</v>
      </c>
      <c r="C103" s="5">
        <v>4</v>
      </c>
      <c r="D103" s="5" t="s">
        <v>981</v>
      </c>
      <c r="E103" s="5" t="s">
        <v>982</v>
      </c>
      <c r="F103" s="5">
        <v>10</v>
      </c>
      <c r="G103" s="5" t="s">
        <v>974</v>
      </c>
    </row>
    <row r="104" spans="1:7">
      <c r="A104" s="6">
        <v>45758</v>
      </c>
      <c r="B104" s="5">
        <v>2025</v>
      </c>
      <c r="C104" s="5">
        <v>4</v>
      </c>
      <c r="D104" s="5" t="s">
        <v>981</v>
      </c>
      <c r="E104" s="5" t="s">
        <v>982</v>
      </c>
      <c r="F104" s="5">
        <v>11</v>
      </c>
      <c r="G104" s="5" t="s">
        <v>975</v>
      </c>
    </row>
    <row r="105" spans="1:7">
      <c r="A105" s="6">
        <v>45759</v>
      </c>
      <c r="B105" s="5">
        <v>2025</v>
      </c>
      <c r="C105" s="5">
        <v>4</v>
      </c>
      <c r="D105" s="5" t="s">
        <v>981</v>
      </c>
      <c r="E105" s="5" t="s">
        <v>982</v>
      </c>
      <c r="F105" s="5">
        <v>12</v>
      </c>
      <c r="G105" s="5" t="s">
        <v>976</v>
      </c>
    </row>
    <row r="106" spans="1:7">
      <c r="A106" s="6">
        <v>45760</v>
      </c>
      <c r="B106" s="5">
        <v>2025</v>
      </c>
      <c r="C106" s="5">
        <v>4</v>
      </c>
      <c r="D106" s="5" t="s">
        <v>981</v>
      </c>
      <c r="E106" s="5" t="s">
        <v>982</v>
      </c>
      <c r="F106" s="5">
        <v>13</v>
      </c>
      <c r="G106" s="5" t="s">
        <v>977</v>
      </c>
    </row>
    <row r="107" spans="1:7">
      <c r="A107" s="6">
        <v>45761</v>
      </c>
      <c r="B107" s="5">
        <v>2025</v>
      </c>
      <c r="C107" s="5">
        <v>4</v>
      </c>
      <c r="D107" s="5" t="s">
        <v>981</v>
      </c>
      <c r="E107" s="5" t="s">
        <v>982</v>
      </c>
      <c r="F107" s="5">
        <v>14</v>
      </c>
      <c r="G107" s="5" t="s">
        <v>978</v>
      </c>
    </row>
    <row r="108" spans="1:7">
      <c r="A108" s="6">
        <v>45762</v>
      </c>
      <c r="B108" s="5">
        <v>2025</v>
      </c>
      <c r="C108" s="5">
        <v>4</v>
      </c>
      <c r="D108" s="5" t="s">
        <v>981</v>
      </c>
      <c r="E108" s="5" t="s">
        <v>982</v>
      </c>
      <c r="F108" s="5">
        <v>15</v>
      </c>
      <c r="G108" s="5" t="s">
        <v>972</v>
      </c>
    </row>
    <row r="109" spans="1:7">
      <c r="A109" s="6">
        <v>45763</v>
      </c>
      <c r="B109" s="5">
        <v>2025</v>
      </c>
      <c r="C109" s="5">
        <v>4</v>
      </c>
      <c r="D109" s="5" t="s">
        <v>981</v>
      </c>
      <c r="E109" s="5" t="s">
        <v>982</v>
      </c>
      <c r="F109" s="5">
        <v>16</v>
      </c>
      <c r="G109" s="5" t="s">
        <v>973</v>
      </c>
    </row>
    <row r="110" spans="1:7">
      <c r="A110" s="6">
        <v>45764</v>
      </c>
      <c r="B110" s="5">
        <v>2025</v>
      </c>
      <c r="C110" s="5">
        <v>4</v>
      </c>
      <c r="D110" s="5" t="s">
        <v>981</v>
      </c>
      <c r="E110" s="5" t="s">
        <v>982</v>
      </c>
      <c r="F110" s="5">
        <v>17</v>
      </c>
      <c r="G110" s="5" t="s">
        <v>974</v>
      </c>
    </row>
    <row r="111" spans="1:7">
      <c r="A111" s="6">
        <v>45765</v>
      </c>
      <c r="B111" s="5">
        <v>2025</v>
      </c>
      <c r="C111" s="5">
        <v>4</v>
      </c>
      <c r="D111" s="5" t="s">
        <v>981</v>
      </c>
      <c r="E111" s="5" t="s">
        <v>982</v>
      </c>
      <c r="F111" s="5">
        <v>18</v>
      </c>
      <c r="G111" s="5" t="s">
        <v>975</v>
      </c>
    </row>
    <row r="112" spans="1:7">
      <c r="A112" s="6">
        <v>45766</v>
      </c>
      <c r="B112" s="5">
        <v>2025</v>
      </c>
      <c r="C112" s="5">
        <v>4</v>
      </c>
      <c r="D112" s="5" t="s">
        <v>981</v>
      </c>
      <c r="E112" s="5" t="s">
        <v>982</v>
      </c>
      <c r="F112" s="5">
        <v>19</v>
      </c>
      <c r="G112" s="5" t="s">
        <v>976</v>
      </c>
    </row>
    <row r="113" spans="1:7">
      <c r="A113" s="6">
        <v>45767</v>
      </c>
      <c r="B113" s="5">
        <v>2025</v>
      </c>
      <c r="C113" s="5">
        <v>4</v>
      </c>
      <c r="D113" s="5" t="s">
        <v>981</v>
      </c>
      <c r="E113" s="5" t="s">
        <v>982</v>
      </c>
      <c r="F113" s="5">
        <v>20</v>
      </c>
      <c r="G113" s="5" t="s">
        <v>977</v>
      </c>
    </row>
    <row r="114" spans="1:7">
      <c r="A114" s="6">
        <v>45768</v>
      </c>
      <c r="B114" s="5">
        <v>2025</v>
      </c>
      <c r="C114" s="5">
        <v>4</v>
      </c>
      <c r="D114" s="5" t="s">
        <v>981</v>
      </c>
      <c r="E114" s="5" t="s">
        <v>982</v>
      </c>
      <c r="F114" s="5">
        <v>21</v>
      </c>
      <c r="G114" s="5" t="s">
        <v>978</v>
      </c>
    </row>
    <row r="115" spans="1:7">
      <c r="A115" s="6">
        <v>45769</v>
      </c>
      <c r="B115" s="5">
        <v>2025</v>
      </c>
      <c r="C115" s="5">
        <v>4</v>
      </c>
      <c r="D115" s="5" t="s">
        <v>981</v>
      </c>
      <c r="E115" s="5" t="s">
        <v>982</v>
      </c>
      <c r="F115" s="5">
        <v>22</v>
      </c>
      <c r="G115" s="5" t="s">
        <v>972</v>
      </c>
    </row>
    <row r="116" spans="1:7">
      <c r="A116" s="6">
        <v>45770</v>
      </c>
      <c r="B116" s="5">
        <v>2025</v>
      </c>
      <c r="C116" s="5">
        <v>4</v>
      </c>
      <c r="D116" s="5" t="s">
        <v>981</v>
      </c>
      <c r="E116" s="5" t="s">
        <v>982</v>
      </c>
      <c r="F116" s="5">
        <v>23</v>
      </c>
      <c r="G116" s="5" t="s">
        <v>973</v>
      </c>
    </row>
    <row r="117" spans="1:7">
      <c r="A117" s="6">
        <v>45771</v>
      </c>
      <c r="B117" s="5">
        <v>2025</v>
      </c>
      <c r="C117" s="5">
        <v>4</v>
      </c>
      <c r="D117" s="5" t="s">
        <v>981</v>
      </c>
      <c r="E117" s="5" t="s">
        <v>982</v>
      </c>
      <c r="F117" s="5">
        <v>24</v>
      </c>
      <c r="G117" s="5" t="s">
        <v>974</v>
      </c>
    </row>
    <row r="118" spans="1:7">
      <c r="A118" s="6">
        <v>45772</v>
      </c>
      <c r="B118" s="5">
        <v>2025</v>
      </c>
      <c r="C118" s="5">
        <v>4</v>
      </c>
      <c r="D118" s="5" t="s">
        <v>981</v>
      </c>
      <c r="E118" s="5" t="s">
        <v>982</v>
      </c>
      <c r="F118" s="5">
        <v>25</v>
      </c>
      <c r="G118" s="5" t="s">
        <v>975</v>
      </c>
    </row>
    <row r="119" spans="1:7">
      <c r="A119" s="6">
        <v>45773</v>
      </c>
      <c r="B119" s="5">
        <v>2025</v>
      </c>
      <c r="C119" s="5">
        <v>4</v>
      </c>
      <c r="D119" s="5" t="s">
        <v>981</v>
      </c>
      <c r="E119" s="5" t="s">
        <v>982</v>
      </c>
      <c r="F119" s="5">
        <v>26</v>
      </c>
      <c r="G119" s="5" t="s">
        <v>976</v>
      </c>
    </row>
    <row r="120" spans="1:7">
      <c r="A120" s="6">
        <v>45774</v>
      </c>
      <c r="B120" s="5">
        <v>2025</v>
      </c>
      <c r="C120" s="5">
        <v>4</v>
      </c>
      <c r="D120" s="5" t="s">
        <v>981</v>
      </c>
      <c r="E120" s="5" t="s">
        <v>982</v>
      </c>
      <c r="F120" s="5">
        <v>27</v>
      </c>
      <c r="G120" s="5" t="s">
        <v>977</v>
      </c>
    </row>
    <row r="121" spans="1:7">
      <c r="A121" s="6">
        <v>45775</v>
      </c>
      <c r="B121" s="5">
        <v>2025</v>
      </c>
      <c r="C121" s="5">
        <v>4</v>
      </c>
      <c r="D121" s="5" t="s">
        <v>981</v>
      </c>
      <c r="E121" s="5" t="s">
        <v>982</v>
      </c>
      <c r="F121" s="5">
        <v>28</v>
      </c>
      <c r="G121" s="5" t="s">
        <v>978</v>
      </c>
    </row>
    <row r="122" spans="1:7">
      <c r="A122" s="6">
        <v>45776</v>
      </c>
      <c r="B122" s="5">
        <v>2025</v>
      </c>
      <c r="C122" s="5">
        <v>4</v>
      </c>
      <c r="D122" s="5" t="s">
        <v>981</v>
      </c>
      <c r="E122" s="5" t="s">
        <v>982</v>
      </c>
      <c r="F122" s="5">
        <v>29</v>
      </c>
      <c r="G122" s="5" t="s">
        <v>972</v>
      </c>
    </row>
    <row r="123" spans="1:7">
      <c r="A123" s="6">
        <v>45777</v>
      </c>
      <c r="B123" s="5">
        <v>2025</v>
      </c>
      <c r="C123" s="5">
        <v>4</v>
      </c>
      <c r="D123" s="5" t="s">
        <v>981</v>
      </c>
      <c r="E123" s="5" t="s">
        <v>982</v>
      </c>
      <c r="F123" s="5">
        <v>30</v>
      </c>
      <c r="G123" s="5" t="s">
        <v>973</v>
      </c>
    </row>
    <row r="124" spans="1:7">
      <c r="A124" s="6">
        <v>45778</v>
      </c>
      <c r="B124" s="5">
        <v>2025</v>
      </c>
      <c r="C124" s="5">
        <v>5</v>
      </c>
      <c r="D124" s="5" t="s">
        <v>983</v>
      </c>
      <c r="E124" s="5" t="s">
        <v>982</v>
      </c>
      <c r="F124" s="5">
        <v>1</v>
      </c>
      <c r="G124" s="5" t="s">
        <v>974</v>
      </c>
    </row>
    <row r="125" spans="1:7">
      <c r="A125" s="6">
        <v>45779</v>
      </c>
      <c r="B125" s="5">
        <v>2025</v>
      </c>
      <c r="C125" s="5">
        <v>5</v>
      </c>
      <c r="D125" s="5" t="s">
        <v>983</v>
      </c>
      <c r="E125" s="5" t="s">
        <v>982</v>
      </c>
      <c r="F125" s="5">
        <v>2</v>
      </c>
      <c r="G125" s="5" t="s">
        <v>975</v>
      </c>
    </row>
    <row r="126" spans="1:7">
      <c r="A126" s="6">
        <v>45780</v>
      </c>
      <c r="B126" s="5">
        <v>2025</v>
      </c>
      <c r="C126" s="5">
        <v>5</v>
      </c>
      <c r="D126" s="5" t="s">
        <v>983</v>
      </c>
      <c r="E126" s="5" t="s">
        <v>982</v>
      </c>
      <c r="F126" s="5">
        <v>3</v>
      </c>
      <c r="G126" s="5" t="s">
        <v>976</v>
      </c>
    </row>
    <row r="127" spans="1:7">
      <c r="A127" s="6">
        <v>45781</v>
      </c>
      <c r="B127" s="5">
        <v>2025</v>
      </c>
      <c r="C127" s="5">
        <v>5</v>
      </c>
      <c r="D127" s="5" t="s">
        <v>983</v>
      </c>
      <c r="E127" s="5" t="s">
        <v>982</v>
      </c>
      <c r="F127" s="5">
        <v>4</v>
      </c>
      <c r="G127" s="5" t="s">
        <v>977</v>
      </c>
    </row>
    <row r="128" spans="1:7">
      <c r="A128" s="6">
        <v>45782</v>
      </c>
      <c r="B128" s="5">
        <v>2025</v>
      </c>
      <c r="C128" s="5">
        <v>5</v>
      </c>
      <c r="D128" s="5" t="s">
        <v>983</v>
      </c>
      <c r="E128" s="5" t="s">
        <v>982</v>
      </c>
      <c r="F128" s="5">
        <v>5</v>
      </c>
      <c r="G128" s="5" t="s">
        <v>978</v>
      </c>
    </row>
    <row r="129" spans="1:7">
      <c r="A129" s="6">
        <v>45783</v>
      </c>
      <c r="B129" s="5">
        <v>2025</v>
      </c>
      <c r="C129" s="5">
        <v>5</v>
      </c>
      <c r="D129" s="5" t="s">
        <v>983</v>
      </c>
      <c r="E129" s="5" t="s">
        <v>982</v>
      </c>
      <c r="F129" s="5">
        <v>6</v>
      </c>
      <c r="G129" s="5" t="s">
        <v>972</v>
      </c>
    </row>
    <row r="130" spans="1:7">
      <c r="A130" s="6">
        <v>45784</v>
      </c>
      <c r="B130" s="5">
        <v>2025</v>
      </c>
      <c r="C130" s="5">
        <v>5</v>
      </c>
      <c r="D130" s="5" t="s">
        <v>983</v>
      </c>
      <c r="E130" s="5" t="s">
        <v>982</v>
      </c>
      <c r="F130" s="5">
        <v>7</v>
      </c>
      <c r="G130" s="5" t="s">
        <v>973</v>
      </c>
    </row>
    <row r="131" spans="1:7">
      <c r="A131" s="6">
        <v>45785</v>
      </c>
      <c r="B131" s="5">
        <v>2025</v>
      </c>
      <c r="C131" s="5">
        <v>5</v>
      </c>
      <c r="D131" s="5" t="s">
        <v>983</v>
      </c>
      <c r="E131" s="5" t="s">
        <v>982</v>
      </c>
      <c r="F131" s="5">
        <v>8</v>
      </c>
      <c r="G131" s="5" t="s">
        <v>974</v>
      </c>
    </row>
    <row r="132" spans="1:7">
      <c r="A132" s="6">
        <v>45786</v>
      </c>
      <c r="B132" s="5">
        <v>2025</v>
      </c>
      <c r="C132" s="5">
        <v>5</v>
      </c>
      <c r="D132" s="5" t="s">
        <v>983</v>
      </c>
      <c r="E132" s="5" t="s">
        <v>982</v>
      </c>
      <c r="F132" s="5">
        <v>9</v>
      </c>
      <c r="G132" s="5" t="s">
        <v>975</v>
      </c>
    </row>
    <row r="133" spans="1:7">
      <c r="A133" s="6">
        <v>45787</v>
      </c>
      <c r="B133" s="5">
        <v>2025</v>
      </c>
      <c r="C133" s="5">
        <v>5</v>
      </c>
      <c r="D133" s="5" t="s">
        <v>983</v>
      </c>
      <c r="E133" s="5" t="s">
        <v>982</v>
      </c>
      <c r="F133" s="5">
        <v>10</v>
      </c>
      <c r="G133" s="5" t="s">
        <v>976</v>
      </c>
    </row>
    <row r="134" spans="1:7">
      <c r="A134" s="6">
        <v>45788</v>
      </c>
      <c r="B134" s="5">
        <v>2025</v>
      </c>
      <c r="C134" s="5">
        <v>5</v>
      </c>
      <c r="D134" s="5" t="s">
        <v>983</v>
      </c>
      <c r="E134" s="5" t="s">
        <v>982</v>
      </c>
      <c r="F134" s="5">
        <v>11</v>
      </c>
      <c r="G134" s="5" t="s">
        <v>977</v>
      </c>
    </row>
    <row r="135" spans="1:7">
      <c r="A135" s="6">
        <v>45789</v>
      </c>
      <c r="B135" s="5">
        <v>2025</v>
      </c>
      <c r="C135" s="5">
        <v>5</v>
      </c>
      <c r="D135" s="5" t="s">
        <v>983</v>
      </c>
      <c r="E135" s="5" t="s">
        <v>982</v>
      </c>
      <c r="F135" s="5">
        <v>12</v>
      </c>
      <c r="G135" s="5" t="s">
        <v>978</v>
      </c>
    </row>
    <row r="136" spans="1:7">
      <c r="A136" s="6">
        <v>45790</v>
      </c>
      <c r="B136" s="5">
        <v>2025</v>
      </c>
      <c r="C136" s="5">
        <v>5</v>
      </c>
      <c r="D136" s="5" t="s">
        <v>983</v>
      </c>
      <c r="E136" s="5" t="s">
        <v>982</v>
      </c>
      <c r="F136" s="5">
        <v>13</v>
      </c>
      <c r="G136" s="5" t="s">
        <v>972</v>
      </c>
    </row>
    <row r="137" spans="1:7">
      <c r="A137" s="6">
        <v>45791</v>
      </c>
      <c r="B137" s="5">
        <v>2025</v>
      </c>
      <c r="C137" s="5">
        <v>5</v>
      </c>
      <c r="D137" s="5" t="s">
        <v>983</v>
      </c>
      <c r="E137" s="5" t="s">
        <v>982</v>
      </c>
      <c r="F137" s="5">
        <v>14</v>
      </c>
      <c r="G137" s="5" t="s">
        <v>973</v>
      </c>
    </row>
    <row r="138" spans="1:7">
      <c r="A138" s="6">
        <v>45792</v>
      </c>
      <c r="B138" s="5">
        <v>2025</v>
      </c>
      <c r="C138" s="5">
        <v>5</v>
      </c>
      <c r="D138" s="5" t="s">
        <v>983</v>
      </c>
      <c r="E138" s="5" t="s">
        <v>982</v>
      </c>
      <c r="F138" s="5">
        <v>15</v>
      </c>
      <c r="G138" s="5" t="s">
        <v>974</v>
      </c>
    </row>
    <row r="139" spans="1:7">
      <c r="A139" s="6">
        <v>45793</v>
      </c>
      <c r="B139" s="5">
        <v>2025</v>
      </c>
      <c r="C139" s="5">
        <v>5</v>
      </c>
      <c r="D139" s="5" t="s">
        <v>983</v>
      </c>
      <c r="E139" s="5" t="s">
        <v>982</v>
      </c>
      <c r="F139" s="5">
        <v>16</v>
      </c>
      <c r="G139" s="5" t="s">
        <v>975</v>
      </c>
    </row>
    <row r="140" spans="1:7">
      <c r="A140" s="6">
        <v>45794</v>
      </c>
      <c r="B140" s="5">
        <v>2025</v>
      </c>
      <c r="C140" s="5">
        <v>5</v>
      </c>
      <c r="D140" s="5" t="s">
        <v>983</v>
      </c>
      <c r="E140" s="5" t="s">
        <v>982</v>
      </c>
      <c r="F140" s="5">
        <v>17</v>
      </c>
      <c r="G140" s="5" t="s">
        <v>976</v>
      </c>
    </row>
    <row r="141" spans="1:7">
      <c r="A141" s="6">
        <v>45795</v>
      </c>
      <c r="B141" s="5">
        <v>2025</v>
      </c>
      <c r="C141" s="5">
        <v>5</v>
      </c>
      <c r="D141" s="5" t="s">
        <v>983</v>
      </c>
      <c r="E141" s="5" t="s">
        <v>982</v>
      </c>
      <c r="F141" s="5">
        <v>18</v>
      </c>
      <c r="G141" s="5" t="s">
        <v>977</v>
      </c>
    </row>
    <row r="142" spans="1:7">
      <c r="A142" s="6">
        <v>45796</v>
      </c>
      <c r="B142" s="5">
        <v>2025</v>
      </c>
      <c r="C142" s="5">
        <v>5</v>
      </c>
      <c r="D142" s="5" t="s">
        <v>983</v>
      </c>
      <c r="E142" s="5" t="s">
        <v>982</v>
      </c>
      <c r="F142" s="5">
        <v>19</v>
      </c>
      <c r="G142" s="5" t="s">
        <v>978</v>
      </c>
    </row>
    <row r="143" spans="1:7">
      <c r="A143" s="6">
        <v>45797</v>
      </c>
      <c r="B143" s="5">
        <v>2025</v>
      </c>
      <c r="C143" s="5">
        <v>5</v>
      </c>
      <c r="D143" s="5" t="s">
        <v>983</v>
      </c>
      <c r="E143" s="5" t="s">
        <v>982</v>
      </c>
      <c r="F143" s="5">
        <v>20</v>
      </c>
      <c r="G143" s="5" t="s">
        <v>972</v>
      </c>
    </row>
    <row r="144" spans="1:7">
      <c r="A144" s="6">
        <v>45798</v>
      </c>
      <c r="B144" s="5">
        <v>2025</v>
      </c>
      <c r="C144" s="5">
        <v>5</v>
      </c>
      <c r="D144" s="5" t="s">
        <v>983</v>
      </c>
      <c r="E144" s="5" t="s">
        <v>982</v>
      </c>
      <c r="F144" s="5">
        <v>21</v>
      </c>
      <c r="G144" s="5" t="s">
        <v>973</v>
      </c>
    </row>
    <row r="145" spans="1:7">
      <c r="A145" s="6">
        <v>45799</v>
      </c>
      <c r="B145" s="5">
        <v>2025</v>
      </c>
      <c r="C145" s="5">
        <v>5</v>
      </c>
      <c r="D145" s="5" t="s">
        <v>983</v>
      </c>
      <c r="E145" s="5" t="s">
        <v>982</v>
      </c>
      <c r="F145" s="5">
        <v>22</v>
      </c>
      <c r="G145" s="5" t="s">
        <v>974</v>
      </c>
    </row>
    <row r="146" spans="1:7">
      <c r="A146" s="6">
        <v>45800</v>
      </c>
      <c r="B146" s="5">
        <v>2025</v>
      </c>
      <c r="C146" s="5">
        <v>5</v>
      </c>
      <c r="D146" s="5" t="s">
        <v>983</v>
      </c>
      <c r="E146" s="5" t="s">
        <v>982</v>
      </c>
      <c r="F146" s="5">
        <v>23</v>
      </c>
      <c r="G146" s="5" t="s">
        <v>975</v>
      </c>
    </row>
    <row r="147" spans="1:7">
      <c r="A147" s="6">
        <v>45801</v>
      </c>
      <c r="B147" s="5">
        <v>2025</v>
      </c>
      <c r="C147" s="5">
        <v>5</v>
      </c>
      <c r="D147" s="5" t="s">
        <v>983</v>
      </c>
      <c r="E147" s="5" t="s">
        <v>982</v>
      </c>
      <c r="F147" s="5">
        <v>24</v>
      </c>
      <c r="G147" s="5" t="s">
        <v>976</v>
      </c>
    </row>
    <row r="148" spans="1:7">
      <c r="A148" s="6">
        <v>45802</v>
      </c>
      <c r="B148" s="5">
        <v>2025</v>
      </c>
      <c r="C148" s="5">
        <v>5</v>
      </c>
      <c r="D148" s="5" t="s">
        <v>983</v>
      </c>
      <c r="E148" s="5" t="s">
        <v>982</v>
      </c>
      <c r="F148" s="5">
        <v>25</v>
      </c>
      <c r="G148" s="5" t="s">
        <v>977</v>
      </c>
    </row>
    <row r="149" spans="1:7">
      <c r="A149" s="6">
        <v>45803</v>
      </c>
      <c r="B149" s="5">
        <v>2025</v>
      </c>
      <c r="C149" s="5">
        <v>5</v>
      </c>
      <c r="D149" s="5" t="s">
        <v>983</v>
      </c>
      <c r="E149" s="5" t="s">
        <v>982</v>
      </c>
      <c r="F149" s="5">
        <v>26</v>
      </c>
      <c r="G149" s="5" t="s">
        <v>978</v>
      </c>
    </row>
    <row r="150" spans="1:7">
      <c r="A150" s="6">
        <v>45804</v>
      </c>
      <c r="B150" s="5">
        <v>2025</v>
      </c>
      <c r="C150" s="5">
        <v>5</v>
      </c>
      <c r="D150" s="5" t="s">
        <v>983</v>
      </c>
      <c r="E150" s="5" t="s">
        <v>982</v>
      </c>
      <c r="F150" s="5">
        <v>27</v>
      </c>
      <c r="G150" s="5" t="s">
        <v>972</v>
      </c>
    </row>
    <row r="151" spans="1:7">
      <c r="A151" s="6">
        <v>45805</v>
      </c>
      <c r="B151" s="5">
        <v>2025</v>
      </c>
      <c r="C151" s="5">
        <v>5</v>
      </c>
      <c r="D151" s="5" t="s">
        <v>983</v>
      </c>
      <c r="E151" s="5" t="s">
        <v>982</v>
      </c>
      <c r="F151" s="5">
        <v>28</v>
      </c>
      <c r="G151" s="5" t="s">
        <v>973</v>
      </c>
    </row>
    <row r="152" spans="1:7">
      <c r="A152" s="6">
        <v>45806</v>
      </c>
      <c r="B152" s="5">
        <v>2025</v>
      </c>
      <c r="C152" s="5">
        <v>5</v>
      </c>
      <c r="D152" s="5" t="s">
        <v>983</v>
      </c>
      <c r="E152" s="5" t="s">
        <v>982</v>
      </c>
      <c r="F152" s="5">
        <v>29</v>
      </c>
      <c r="G152" s="5" t="s">
        <v>974</v>
      </c>
    </row>
    <row r="153" spans="1:7">
      <c r="A153" s="6">
        <v>45807</v>
      </c>
      <c r="B153" s="5">
        <v>2025</v>
      </c>
      <c r="C153" s="5">
        <v>5</v>
      </c>
      <c r="D153" s="5" t="s">
        <v>983</v>
      </c>
      <c r="E153" s="5" t="s">
        <v>982</v>
      </c>
      <c r="F153" s="5">
        <v>30</v>
      </c>
      <c r="G153" s="5" t="s">
        <v>975</v>
      </c>
    </row>
    <row r="154" spans="1:7">
      <c r="A154" s="6">
        <v>45808</v>
      </c>
      <c r="B154" s="5">
        <v>2025</v>
      </c>
      <c r="C154" s="5">
        <v>5</v>
      </c>
      <c r="D154" s="5" t="s">
        <v>983</v>
      </c>
      <c r="E154" s="5" t="s">
        <v>982</v>
      </c>
      <c r="F154" s="5">
        <v>31</v>
      </c>
      <c r="G154" s="5" t="s">
        <v>976</v>
      </c>
    </row>
    <row r="155" spans="1:7">
      <c r="A155" s="6">
        <v>45809</v>
      </c>
      <c r="B155" s="5">
        <v>2025</v>
      </c>
      <c r="C155" s="5">
        <v>6</v>
      </c>
      <c r="D155" s="5" t="s">
        <v>984</v>
      </c>
      <c r="E155" s="5" t="s">
        <v>982</v>
      </c>
      <c r="F155" s="5">
        <v>1</v>
      </c>
      <c r="G155" s="5" t="s">
        <v>977</v>
      </c>
    </row>
    <row r="156" spans="1:7">
      <c r="A156" s="6">
        <v>45810</v>
      </c>
      <c r="B156" s="5">
        <v>2025</v>
      </c>
      <c r="C156" s="5">
        <v>6</v>
      </c>
      <c r="D156" s="5" t="s">
        <v>984</v>
      </c>
      <c r="E156" s="5" t="s">
        <v>982</v>
      </c>
      <c r="F156" s="5">
        <v>2</v>
      </c>
      <c r="G156" s="5" t="s">
        <v>978</v>
      </c>
    </row>
    <row r="157" spans="1:7">
      <c r="A157" s="6">
        <v>45811</v>
      </c>
      <c r="B157" s="5">
        <v>2025</v>
      </c>
      <c r="C157" s="5">
        <v>6</v>
      </c>
      <c r="D157" s="5" t="s">
        <v>984</v>
      </c>
      <c r="E157" s="5" t="s">
        <v>982</v>
      </c>
      <c r="F157" s="5">
        <v>3</v>
      </c>
      <c r="G157" s="5" t="s">
        <v>972</v>
      </c>
    </row>
    <row r="158" spans="1:7">
      <c r="A158" s="6">
        <v>45812</v>
      </c>
      <c r="B158" s="5">
        <v>2025</v>
      </c>
      <c r="C158" s="5">
        <v>6</v>
      </c>
      <c r="D158" s="5" t="s">
        <v>984</v>
      </c>
      <c r="E158" s="5" t="s">
        <v>982</v>
      </c>
      <c r="F158" s="5">
        <v>4</v>
      </c>
      <c r="G158" s="5" t="s">
        <v>973</v>
      </c>
    </row>
    <row r="159" spans="1:7">
      <c r="A159" s="6">
        <v>45813</v>
      </c>
      <c r="B159" s="5">
        <v>2025</v>
      </c>
      <c r="C159" s="5">
        <v>6</v>
      </c>
      <c r="D159" s="5" t="s">
        <v>984</v>
      </c>
      <c r="E159" s="5" t="s">
        <v>982</v>
      </c>
      <c r="F159" s="5">
        <v>5</v>
      </c>
      <c r="G159" s="5" t="s">
        <v>974</v>
      </c>
    </row>
    <row r="160" spans="1:7">
      <c r="A160" s="6">
        <v>45814</v>
      </c>
      <c r="B160" s="5">
        <v>2025</v>
      </c>
      <c r="C160" s="5">
        <v>6</v>
      </c>
      <c r="D160" s="5" t="s">
        <v>984</v>
      </c>
      <c r="E160" s="5" t="s">
        <v>982</v>
      </c>
      <c r="F160" s="5">
        <v>6</v>
      </c>
      <c r="G160" s="5" t="s">
        <v>975</v>
      </c>
    </row>
    <row r="161" spans="1:7">
      <c r="A161" s="6">
        <v>45815</v>
      </c>
      <c r="B161" s="5">
        <v>2025</v>
      </c>
      <c r="C161" s="5">
        <v>6</v>
      </c>
      <c r="D161" s="5" t="s">
        <v>984</v>
      </c>
      <c r="E161" s="5" t="s">
        <v>982</v>
      </c>
      <c r="F161" s="5">
        <v>7</v>
      </c>
      <c r="G161" s="5" t="s">
        <v>976</v>
      </c>
    </row>
    <row r="162" spans="1:7">
      <c r="A162" s="6">
        <v>45816</v>
      </c>
      <c r="B162" s="5">
        <v>2025</v>
      </c>
      <c r="C162" s="5">
        <v>6</v>
      </c>
      <c r="D162" s="5" t="s">
        <v>984</v>
      </c>
      <c r="E162" s="5" t="s">
        <v>982</v>
      </c>
      <c r="F162" s="5">
        <v>8</v>
      </c>
      <c r="G162" s="5" t="s">
        <v>977</v>
      </c>
    </row>
    <row r="163" spans="1:7">
      <c r="A163" s="6">
        <v>45817</v>
      </c>
      <c r="B163" s="5">
        <v>2025</v>
      </c>
      <c r="C163" s="5">
        <v>6</v>
      </c>
      <c r="D163" s="5" t="s">
        <v>984</v>
      </c>
      <c r="E163" s="5" t="s">
        <v>982</v>
      </c>
      <c r="F163" s="5">
        <v>9</v>
      </c>
      <c r="G163" s="5" t="s">
        <v>978</v>
      </c>
    </row>
    <row r="164" spans="1:7">
      <c r="A164" s="6">
        <v>45818</v>
      </c>
      <c r="B164" s="5">
        <v>2025</v>
      </c>
      <c r="C164" s="5">
        <v>6</v>
      </c>
      <c r="D164" s="5" t="s">
        <v>984</v>
      </c>
      <c r="E164" s="5" t="s">
        <v>982</v>
      </c>
      <c r="F164" s="5">
        <v>10</v>
      </c>
      <c r="G164" s="5" t="s">
        <v>972</v>
      </c>
    </row>
    <row r="165" spans="1:7">
      <c r="A165" s="6">
        <v>45819</v>
      </c>
      <c r="B165" s="5">
        <v>2025</v>
      </c>
      <c r="C165" s="5">
        <v>6</v>
      </c>
      <c r="D165" s="5" t="s">
        <v>984</v>
      </c>
      <c r="E165" s="5" t="s">
        <v>982</v>
      </c>
      <c r="F165" s="5">
        <v>11</v>
      </c>
      <c r="G165" s="5" t="s">
        <v>973</v>
      </c>
    </row>
    <row r="166" spans="1:7">
      <c r="A166" s="6">
        <v>45820</v>
      </c>
      <c r="B166" s="5">
        <v>2025</v>
      </c>
      <c r="C166" s="5">
        <v>6</v>
      </c>
      <c r="D166" s="5" t="s">
        <v>984</v>
      </c>
      <c r="E166" s="5" t="s">
        <v>982</v>
      </c>
      <c r="F166" s="5">
        <v>12</v>
      </c>
      <c r="G166" s="5" t="s">
        <v>974</v>
      </c>
    </row>
    <row r="167" spans="1:7">
      <c r="A167" s="6">
        <v>45821</v>
      </c>
      <c r="B167" s="5">
        <v>2025</v>
      </c>
      <c r="C167" s="5">
        <v>6</v>
      </c>
      <c r="D167" s="5" t="s">
        <v>984</v>
      </c>
      <c r="E167" s="5" t="s">
        <v>982</v>
      </c>
      <c r="F167" s="5">
        <v>13</v>
      </c>
      <c r="G167" s="5" t="s">
        <v>975</v>
      </c>
    </row>
    <row r="168" spans="1:7">
      <c r="A168" s="6">
        <v>45822</v>
      </c>
      <c r="B168" s="5">
        <v>2025</v>
      </c>
      <c r="C168" s="5">
        <v>6</v>
      </c>
      <c r="D168" s="5" t="s">
        <v>984</v>
      </c>
      <c r="E168" s="5" t="s">
        <v>982</v>
      </c>
      <c r="F168" s="5">
        <v>14</v>
      </c>
      <c r="G168" s="5" t="s">
        <v>976</v>
      </c>
    </row>
    <row r="169" spans="1:7">
      <c r="A169" s="6">
        <v>45823</v>
      </c>
      <c r="B169" s="5">
        <v>2025</v>
      </c>
      <c r="C169" s="5">
        <v>6</v>
      </c>
      <c r="D169" s="5" t="s">
        <v>984</v>
      </c>
      <c r="E169" s="5" t="s">
        <v>982</v>
      </c>
      <c r="F169" s="5">
        <v>15</v>
      </c>
      <c r="G169" s="5" t="s">
        <v>977</v>
      </c>
    </row>
    <row r="170" spans="1:7">
      <c r="A170" s="6">
        <v>45824</v>
      </c>
      <c r="B170" s="5">
        <v>2025</v>
      </c>
      <c r="C170" s="5">
        <v>6</v>
      </c>
      <c r="D170" s="5" t="s">
        <v>984</v>
      </c>
      <c r="E170" s="5" t="s">
        <v>982</v>
      </c>
      <c r="F170" s="5">
        <v>16</v>
      </c>
      <c r="G170" s="5" t="s">
        <v>978</v>
      </c>
    </row>
    <row r="171" spans="1:7">
      <c r="A171" s="6">
        <v>45825</v>
      </c>
      <c r="B171" s="5">
        <v>2025</v>
      </c>
      <c r="C171" s="5">
        <v>6</v>
      </c>
      <c r="D171" s="5" t="s">
        <v>984</v>
      </c>
      <c r="E171" s="5" t="s">
        <v>982</v>
      </c>
      <c r="F171" s="5">
        <v>17</v>
      </c>
      <c r="G171" s="5" t="s">
        <v>972</v>
      </c>
    </row>
    <row r="172" spans="1:7">
      <c r="A172" s="6">
        <v>45826</v>
      </c>
      <c r="B172" s="5">
        <v>2025</v>
      </c>
      <c r="C172" s="5">
        <v>6</v>
      </c>
      <c r="D172" s="5" t="s">
        <v>984</v>
      </c>
      <c r="E172" s="5" t="s">
        <v>982</v>
      </c>
      <c r="F172" s="5">
        <v>18</v>
      </c>
      <c r="G172" s="5" t="s">
        <v>973</v>
      </c>
    </row>
    <row r="173" spans="1:7">
      <c r="A173" s="6">
        <v>45827</v>
      </c>
      <c r="B173" s="5">
        <v>2025</v>
      </c>
      <c r="C173" s="5">
        <v>6</v>
      </c>
      <c r="D173" s="5" t="s">
        <v>984</v>
      </c>
      <c r="E173" s="5" t="s">
        <v>982</v>
      </c>
      <c r="F173" s="5">
        <v>19</v>
      </c>
      <c r="G173" s="5" t="s">
        <v>974</v>
      </c>
    </row>
    <row r="174" spans="1:7">
      <c r="A174" s="6">
        <v>45828</v>
      </c>
      <c r="B174" s="5">
        <v>2025</v>
      </c>
      <c r="C174" s="5">
        <v>6</v>
      </c>
      <c r="D174" s="5" t="s">
        <v>984</v>
      </c>
      <c r="E174" s="5" t="s">
        <v>982</v>
      </c>
      <c r="F174" s="5">
        <v>20</v>
      </c>
      <c r="G174" s="5" t="s">
        <v>975</v>
      </c>
    </row>
    <row r="175" spans="1:7">
      <c r="A175" s="6">
        <v>45829</v>
      </c>
      <c r="B175" s="5">
        <v>2025</v>
      </c>
      <c r="C175" s="5">
        <v>6</v>
      </c>
      <c r="D175" s="5" t="s">
        <v>984</v>
      </c>
      <c r="E175" s="5" t="s">
        <v>982</v>
      </c>
      <c r="F175" s="5">
        <v>21</v>
      </c>
      <c r="G175" s="5" t="s">
        <v>976</v>
      </c>
    </row>
    <row r="176" spans="1:7">
      <c r="A176" s="6">
        <v>45830</v>
      </c>
      <c r="B176" s="5">
        <v>2025</v>
      </c>
      <c r="C176" s="5">
        <v>6</v>
      </c>
      <c r="D176" s="5" t="s">
        <v>984</v>
      </c>
      <c r="E176" s="5" t="s">
        <v>982</v>
      </c>
      <c r="F176" s="5">
        <v>22</v>
      </c>
      <c r="G176" s="5" t="s">
        <v>977</v>
      </c>
    </row>
    <row r="177" spans="1:7">
      <c r="A177" s="6">
        <v>45831</v>
      </c>
      <c r="B177" s="5">
        <v>2025</v>
      </c>
      <c r="C177" s="5">
        <v>6</v>
      </c>
      <c r="D177" s="5" t="s">
        <v>984</v>
      </c>
      <c r="E177" s="5" t="s">
        <v>982</v>
      </c>
      <c r="F177" s="5">
        <v>23</v>
      </c>
      <c r="G177" s="5" t="s">
        <v>978</v>
      </c>
    </row>
    <row r="178" spans="1:7">
      <c r="A178" s="6">
        <v>45832</v>
      </c>
      <c r="B178" s="5">
        <v>2025</v>
      </c>
      <c r="C178" s="5">
        <v>6</v>
      </c>
      <c r="D178" s="5" t="s">
        <v>984</v>
      </c>
      <c r="E178" s="5" t="s">
        <v>982</v>
      </c>
      <c r="F178" s="5">
        <v>24</v>
      </c>
      <c r="G178" s="5" t="s">
        <v>972</v>
      </c>
    </row>
    <row r="179" spans="1:7">
      <c r="A179" s="6">
        <v>45833</v>
      </c>
      <c r="B179" s="5">
        <v>2025</v>
      </c>
      <c r="C179" s="5">
        <v>6</v>
      </c>
      <c r="D179" s="5" t="s">
        <v>984</v>
      </c>
      <c r="E179" s="5" t="s">
        <v>982</v>
      </c>
      <c r="F179" s="5">
        <v>25</v>
      </c>
      <c r="G179" s="5" t="s">
        <v>973</v>
      </c>
    </row>
    <row r="180" spans="1:7">
      <c r="A180" s="6">
        <v>45834</v>
      </c>
      <c r="B180" s="5">
        <v>2025</v>
      </c>
      <c r="C180" s="5">
        <v>6</v>
      </c>
      <c r="D180" s="5" t="s">
        <v>984</v>
      </c>
      <c r="E180" s="5" t="s">
        <v>982</v>
      </c>
      <c r="F180" s="5">
        <v>26</v>
      </c>
      <c r="G180" s="5" t="s">
        <v>974</v>
      </c>
    </row>
    <row r="181" spans="1:7">
      <c r="A181" s="6">
        <v>45835</v>
      </c>
      <c r="B181" s="5">
        <v>2025</v>
      </c>
      <c r="C181" s="5">
        <v>6</v>
      </c>
      <c r="D181" s="5" t="s">
        <v>984</v>
      </c>
      <c r="E181" s="5" t="s">
        <v>982</v>
      </c>
      <c r="F181" s="5">
        <v>27</v>
      </c>
      <c r="G181" s="5" t="s">
        <v>975</v>
      </c>
    </row>
    <row r="182" spans="1:7">
      <c r="A182" s="6">
        <v>45836</v>
      </c>
      <c r="B182" s="5">
        <v>2025</v>
      </c>
      <c r="C182" s="5">
        <v>6</v>
      </c>
      <c r="D182" s="5" t="s">
        <v>984</v>
      </c>
      <c r="E182" s="5" t="s">
        <v>982</v>
      </c>
      <c r="F182" s="5">
        <v>28</v>
      </c>
      <c r="G182" s="5" t="s">
        <v>976</v>
      </c>
    </row>
    <row r="183" spans="1:7">
      <c r="A183" s="6">
        <v>45837</v>
      </c>
      <c r="B183" s="5">
        <v>2025</v>
      </c>
      <c r="C183" s="5">
        <v>6</v>
      </c>
      <c r="D183" s="5" t="s">
        <v>984</v>
      </c>
      <c r="E183" s="5" t="s">
        <v>982</v>
      </c>
      <c r="F183" s="5">
        <v>29</v>
      </c>
      <c r="G183" s="5" t="s">
        <v>977</v>
      </c>
    </row>
    <row r="184" spans="1:7">
      <c r="A184" s="6">
        <v>45838</v>
      </c>
      <c r="B184" s="5">
        <v>2025</v>
      </c>
      <c r="C184" s="5">
        <v>6</v>
      </c>
      <c r="D184" s="5" t="s">
        <v>984</v>
      </c>
      <c r="E184" s="5" t="s">
        <v>982</v>
      </c>
      <c r="F184" s="5">
        <v>30</v>
      </c>
      <c r="G184" s="5" t="s">
        <v>978</v>
      </c>
    </row>
    <row r="185" spans="1:7">
      <c r="A185" s="6">
        <v>45931</v>
      </c>
      <c r="B185" s="5">
        <v>2025</v>
      </c>
      <c r="C185" s="5">
        <v>10</v>
      </c>
      <c r="D185" s="5" t="s">
        <v>985</v>
      </c>
      <c r="E185" s="5" t="s">
        <v>986</v>
      </c>
      <c r="F185" s="5">
        <v>1</v>
      </c>
      <c r="G185" s="5" t="s">
        <v>973</v>
      </c>
    </row>
    <row r="186" spans="1:7">
      <c r="A186" s="6">
        <v>45932</v>
      </c>
      <c r="B186" s="5">
        <v>2025</v>
      </c>
      <c r="C186" s="5">
        <v>10</v>
      </c>
      <c r="D186" s="5" t="s">
        <v>985</v>
      </c>
      <c r="E186" s="5" t="s">
        <v>986</v>
      </c>
      <c r="F186" s="5">
        <v>2</v>
      </c>
      <c r="G186" s="5" t="s">
        <v>974</v>
      </c>
    </row>
    <row r="187" spans="1:7">
      <c r="A187" s="6">
        <v>45933</v>
      </c>
      <c r="B187" s="5">
        <v>2025</v>
      </c>
      <c r="C187" s="5">
        <v>10</v>
      </c>
      <c r="D187" s="5" t="s">
        <v>985</v>
      </c>
      <c r="E187" s="5" t="s">
        <v>986</v>
      </c>
      <c r="F187" s="5">
        <v>3</v>
      </c>
      <c r="G187" s="5" t="s">
        <v>975</v>
      </c>
    </row>
    <row r="188" spans="1:7">
      <c r="A188" s="6">
        <v>45934</v>
      </c>
      <c r="B188" s="5">
        <v>2025</v>
      </c>
      <c r="C188" s="5">
        <v>10</v>
      </c>
      <c r="D188" s="5" t="s">
        <v>985</v>
      </c>
      <c r="E188" s="5" t="s">
        <v>986</v>
      </c>
      <c r="F188" s="5">
        <v>4</v>
      </c>
      <c r="G188" s="5" t="s">
        <v>976</v>
      </c>
    </row>
    <row r="189" spans="1:7">
      <c r="A189" s="6">
        <v>45935</v>
      </c>
      <c r="B189" s="5">
        <v>2025</v>
      </c>
      <c r="C189" s="5">
        <v>10</v>
      </c>
      <c r="D189" s="5" t="s">
        <v>985</v>
      </c>
      <c r="E189" s="5" t="s">
        <v>986</v>
      </c>
      <c r="F189" s="5">
        <v>5</v>
      </c>
      <c r="G189" s="5" t="s">
        <v>977</v>
      </c>
    </row>
    <row r="190" spans="1:7">
      <c r="A190" s="6">
        <v>45936</v>
      </c>
      <c r="B190" s="5">
        <v>2025</v>
      </c>
      <c r="C190" s="5">
        <v>10</v>
      </c>
      <c r="D190" s="5" t="s">
        <v>985</v>
      </c>
      <c r="E190" s="5" t="s">
        <v>986</v>
      </c>
      <c r="F190" s="5">
        <v>6</v>
      </c>
      <c r="G190" s="5" t="s">
        <v>978</v>
      </c>
    </row>
    <row r="191" spans="1:7">
      <c r="A191" s="6">
        <v>45937</v>
      </c>
      <c r="B191" s="5">
        <v>2025</v>
      </c>
      <c r="C191" s="5">
        <v>10</v>
      </c>
      <c r="D191" s="5" t="s">
        <v>985</v>
      </c>
      <c r="E191" s="5" t="s">
        <v>986</v>
      </c>
      <c r="F191" s="5">
        <v>7</v>
      </c>
      <c r="G191" s="5" t="s">
        <v>972</v>
      </c>
    </row>
    <row r="192" spans="1:7">
      <c r="A192" s="6">
        <v>45938</v>
      </c>
      <c r="B192" s="5">
        <v>2025</v>
      </c>
      <c r="C192" s="5">
        <v>10</v>
      </c>
      <c r="D192" s="5" t="s">
        <v>985</v>
      </c>
      <c r="E192" s="5" t="s">
        <v>986</v>
      </c>
      <c r="F192" s="5">
        <v>8</v>
      </c>
      <c r="G192" s="5" t="s">
        <v>973</v>
      </c>
    </row>
    <row r="193" spans="1:7">
      <c r="A193" s="6">
        <v>45939</v>
      </c>
      <c r="B193" s="5">
        <v>2025</v>
      </c>
      <c r="C193" s="5">
        <v>10</v>
      </c>
      <c r="D193" s="5" t="s">
        <v>985</v>
      </c>
      <c r="E193" s="5" t="s">
        <v>986</v>
      </c>
      <c r="F193" s="5">
        <v>9</v>
      </c>
      <c r="G193" s="5" t="s">
        <v>974</v>
      </c>
    </row>
    <row r="194" spans="1:7">
      <c r="A194" s="6">
        <v>45940</v>
      </c>
      <c r="B194" s="5">
        <v>2025</v>
      </c>
      <c r="C194" s="5">
        <v>10</v>
      </c>
      <c r="D194" s="5" t="s">
        <v>985</v>
      </c>
      <c r="E194" s="5" t="s">
        <v>986</v>
      </c>
      <c r="F194" s="5">
        <v>10</v>
      </c>
      <c r="G194" s="5" t="s">
        <v>975</v>
      </c>
    </row>
    <row r="195" spans="1:7">
      <c r="A195" s="6">
        <v>45941</v>
      </c>
      <c r="B195" s="5">
        <v>2025</v>
      </c>
      <c r="C195" s="5">
        <v>10</v>
      </c>
      <c r="D195" s="5" t="s">
        <v>985</v>
      </c>
      <c r="E195" s="5" t="s">
        <v>986</v>
      </c>
      <c r="F195" s="5">
        <v>11</v>
      </c>
      <c r="G195" s="5" t="s">
        <v>976</v>
      </c>
    </row>
    <row r="196" spans="1:7">
      <c r="A196" s="6">
        <v>45942</v>
      </c>
      <c r="B196" s="5">
        <v>2025</v>
      </c>
      <c r="C196" s="5">
        <v>10</v>
      </c>
      <c r="D196" s="5" t="s">
        <v>985</v>
      </c>
      <c r="E196" s="5" t="s">
        <v>986</v>
      </c>
      <c r="F196" s="5">
        <v>12</v>
      </c>
      <c r="G196" s="5" t="s">
        <v>977</v>
      </c>
    </row>
    <row r="197" spans="1:7">
      <c r="A197" s="6">
        <v>45943</v>
      </c>
      <c r="B197" s="5">
        <v>2025</v>
      </c>
      <c r="C197" s="5">
        <v>10</v>
      </c>
      <c r="D197" s="5" t="s">
        <v>985</v>
      </c>
      <c r="E197" s="5" t="s">
        <v>986</v>
      </c>
      <c r="F197" s="5">
        <v>13</v>
      </c>
      <c r="G197" s="5" t="s">
        <v>978</v>
      </c>
    </row>
    <row r="198" spans="1:7">
      <c r="A198" s="6">
        <v>45944</v>
      </c>
      <c r="B198" s="5">
        <v>2025</v>
      </c>
      <c r="C198" s="5">
        <v>10</v>
      </c>
      <c r="D198" s="5" t="s">
        <v>985</v>
      </c>
      <c r="E198" s="5" t="s">
        <v>986</v>
      </c>
      <c r="F198" s="5">
        <v>14</v>
      </c>
      <c r="G198" s="5" t="s">
        <v>972</v>
      </c>
    </row>
    <row r="199" spans="1:7">
      <c r="A199" s="6">
        <v>45945</v>
      </c>
      <c r="B199" s="5">
        <v>2025</v>
      </c>
      <c r="C199" s="5">
        <v>10</v>
      </c>
      <c r="D199" s="5" t="s">
        <v>985</v>
      </c>
      <c r="E199" s="5" t="s">
        <v>986</v>
      </c>
      <c r="F199" s="5">
        <v>15</v>
      </c>
      <c r="G199" s="5" t="s">
        <v>973</v>
      </c>
    </row>
    <row r="200" spans="1:7">
      <c r="A200" s="6">
        <v>45946</v>
      </c>
      <c r="B200" s="5">
        <v>2025</v>
      </c>
      <c r="C200" s="5">
        <v>10</v>
      </c>
      <c r="D200" s="5" t="s">
        <v>985</v>
      </c>
      <c r="E200" s="5" t="s">
        <v>986</v>
      </c>
      <c r="F200" s="5">
        <v>16</v>
      </c>
      <c r="G200" s="5" t="s">
        <v>974</v>
      </c>
    </row>
    <row r="201" spans="1:7">
      <c r="A201" s="6">
        <v>45947</v>
      </c>
      <c r="B201" s="5">
        <v>2025</v>
      </c>
      <c r="C201" s="5">
        <v>10</v>
      </c>
      <c r="D201" s="5" t="s">
        <v>985</v>
      </c>
      <c r="E201" s="5" t="s">
        <v>986</v>
      </c>
      <c r="F201" s="5">
        <v>17</v>
      </c>
      <c r="G201" s="5" t="s">
        <v>975</v>
      </c>
    </row>
    <row r="202" spans="1:7">
      <c r="A202" s="6">
        <v>45948</v>
      </c>
      <c r="B202" s="5">
        <v>2025</v>
      </c>
      <c r="C202" s="5">
        <v>10</v>
      </c>
      <c r="D202" s="5" t="s">
        <v>985</v>
      </c>
      <c r="E202" s="5" t="s">
        <v>986</v>
      </c>
      <c r="F202" s="5">
        <v>18</v>
      </c>
      <c r="G202" s="5" t="s">
        <v>976</v>
      </c>
    </row>
    <row r="203" spans="1:7">
      <c r="A203" s="6">
        <v>45949</v>
      </c>
      <c r="B203" s="5">
        <v>2025</v>
      </c>
      <c r="C203" s="5">
        <v>10</v>
      </c>
      <c r="D203" s="5" t="s">
        <v>985</v>
      </c>
      <c r="E203" s="5" t="s">
        <v>986</v>
      </c>
      <c r="F203" s="5">
        <v>19</v>
      </c>
      <c r="G203" s="5" t="s">
        <v>977</v>
      </c>
    </row>
    <row r="204" spans="1:7">
      <c r="A204" s="6">
        <v>45950</v>
      </c>
      <c r="B204" s="5">
        <v>2025</v>
      </c>
      <c r="C204" s="5">
        <v>10</v>
      </c>
      <c r="D204" s="5" t="s">
        <v>985</v>
      </c>
      <c r="E204" s="5" t="s">
        <v>986</v>
      </c>
      <c r="F204" s="5">
        <v>20</v>
      </c>
      <c r="G204" s="5" t="s">
        <v>978</v>
      </c>
    </row>
    <row r="205" spans="1:7">
      <c r="A205" s="6">
        <v>45951</v>
      </c>
      <c r="B205" s="5">
        <v>2025</v>
      </c>
      <c r="C205" s="5">
        <v>10</v>
      </c>
      <c r="D205" s="5" t="s">
        <v>985</v>
      </c>
      <c r="E205" s="5" t="s">
        <v>986</v>
      </c>
      <c r="F205" s="5">
        <v>21</v>
      </c>
      <c r="G205" s="5" t="s">
        <v>972</v>
      </c>
    </row>
    <row r="206" spans="1:7">
      <c r="A206" s="6">
        <v>45952</v>
      </c>
      <c r="B206" s="5">
        <v>2025</v>
      </c>
      <c r="C206" s="5">
        <v>10</v>
      </c>
      <c r="D206" s="5" t="s">
        <v>985</v>
      </c>
      <c r="E206" s="5" t="s">
        <v>986</v>
      </c>
      <c r="F206" s="5">
        <v>22</v>
      </c>
      <c r="G206" s="5" t="s">
        <v>973</v>
      </c>
    </row>
    <row r="207" spans="1:7">
      <c r="A207" s="6">
        <v>45953</v>
      </c>
      <c r="B207" s="5">
        <v>2025</v>
      </c>
      <c r="C207" s="5">
        <v>10</v>
      </c>
      <c r="D207" s="5" t="s">
        <v>985</v>
      </c>
      <c r="E207" s="5" t="s">
        <v>986</v>
      </c>
      <c r="F207" s="5">
        <v>23</v>
      </c>
      <c r="G207" s="5" t="s">
        <v>974</v>
      </c>
    </row>
    <row r="208" spans="1:7">
      <c r="A208" s="6">
        <v>45954</v>
      </c>
      <c r="B208" s="5">
        <v>2025</v>
      </c>
      <c r="C208" s="5">
        <v>10</v>
      </c>
      <c r="D208" s="5" t="s">
        <v>985</v>
      </c>
      <c r="E208" s="5" t="s">
        <v>986</v>
      </c>
      <c r="F208" s="5">
        <v>24</v>
      </c>
      <c r="G208" s="5" t="s">
        <v>975</v>
      </c>
    </row>
    <row r="209" spans="1:7">
      <c r="A209" s="6">
        <v>45955</v>
      </c>
      <c r="B209" s="5">
        <v>2025</v>
      </c>
      <c r="C209" s="5">
        <v>10</v>
      </c>
      <c r="D209" s="5" t="s">
        <v>985</v>
      </c>
      <c r="E209" s="5" t="s">
        <v>986</v>
      </c>
      <c r="F209" s="5">
        <v>25</v>
      </c>
      <c r="G209" s="5" t="s">
        <v>976</v>
      </c>
    </row>
    <row r="210" spans="1:7">
      <c r="A210" s="6">
        <v>45956</v>
      </c>
      <c r="B210" s="5">
        <v>2025</v>
      </c>
      <c r="C210" s="5">
        <v>10</v>
      </c>
      <c r="D210" s="5" t="s">
        <v>985</v>
      </c>
      <c r="E210" s="5" t="s">
        <v>986</v>
      </c>
      <c r="F210" s="5">
        <v>26</v>
      </c>
      <c r="G210" s="5" t="s">
        <v>977</v>
      </c>
    </row>
    <row r="211" spans="1:7">
      <c r="A211" s="6">
        <v>45957</v>
      </c>
      <c r="B211" s="5">
        <v>2025</v>
      </c>
      <c r="C211" s="5">
        <v>10</v>
      </c>
      <c r="D211" s="5" t="s">
        <v>985</v>
      </c>
      <c r="E211" s="5" t="s">
        <v>986</v>
      </c>
      <c r="F211" s="5">
        <v>27</v>
      </c>
      <c r="G211" s="5" t="s">
        <v>978</v>
      </c>
    </row>
    <row r="212" spans="1:7">
      <c r="A212" s="6">
        <v>45958</v>
      </c>
      <c r="B212" s="5">
        <v>2025</v>
      </c>
      <c r="C212" s="5">
        <v>10</v>
      </c>
      <c r="D212" s="5" t="s">
        <v>985</v>
      </c>
      <c r="E212" s="5" t="s">
        <v>986</v>
      </c>
      <c r="F212" s="5">
        <v>28</v>
      </c>
      <c r="G212" s="5" t="s">
        <v>972</v>
      </c>
    </row>
    <row r="213" spans="1:7">
      <c r="A213" s="6">
        <v>45959</v>
      </c>
      <c r="B213" s="5">
        <v>2025</v>
      </c>
      <c r="C213" s="5">
        <v>10</v>
      </c>
      <c r="D213" s="5" t="s">
        <v>985</v>
      </c>
      <c r="E213" s="5" t="s">
        <v>986</v>
      </c>
      <c r="F213" s="5">
        <v>29</v>
      </c>
      <c r="G213" s="5" t="s">
        <v>973</v>
      </c>
    </row>
    <row r="214" spans="1:7">
      <c r="A214" s="6">
        <v>45960</v>
      </c>
      <c r="B214" s="5">
        <v>2025</v>
      </c>
      <c r="C214" s="5">
        <v>10</v>
      </c>
      <c r="D214" s="5" t="s">
        <v>985</v>
      </c>
      <c r="E214" s="5" t="s">
        <v>986</v>
      </c>
      <c r="F214" s="5">
        <v>30</v>
      </c>
      <c r="G214" s="5" t="s">
        <v>974</v>
      </c>
    </row>
    <row r="215" spans="1:7">
      <c r="A215" s="6">
        <v>45961</v>
      </c>
      <c r="B215" s="5">
        <v>2025</v>
      </c>
      <c r="C215" s="5">
        <v>10</v>
      </c>
      <c r="D215" s="5" t="s">
        <v>985</v>
      </c>
      <c r="E215" s="5" t="s">
        <v>986</v>
      </c>
      <c r="F215" s="5">
        <v>31</v>
      </c>
      <c r="G215" s="5" t="s">
        <v>975</v>
      </c>
    </row>
    <row r="216" spans="1:7">
      <c r="A216" s="6">
        <v>45962</v>
      </c>
      <c r="B216" s="5">
        <v>2025</v>
      </c>
      <c r="C216" s="5">
        <v>11</v>
      </c>
      <c r="D216" s="5" t="s">
        <v>987</v>
      </c>
      <c r="E216" s="5" t="s">
        <v>986</v>
      </c>
      <c r="F216" s="5">
        <v>1</v>
      </c>
      <c r="G216" s="5" t="s">
        <v>976</v>
      </c>
    </row>
    <row r="217" spans="1:7">
      <c r="A217" s="6">
        <v>45963</v>
      </c>
      <c r="B217" s="5">
        <v>2025</v>
      </c>
      <c r="C217" s="5">
        <v>11</v>
      </c>
      <c r="D217" s="5" t="s">
        <v>987</v>
      </c>
      <c r="E217" s="5" t="s">
        <v>986</v>
      </c>
      <c r="F217" s="5">
        <v>2</v>
      </c>
      <c r="G217" s="5" t="s">
        <v>977</v>
      </c>
    </row>
    <row r="218" spans="1:7">
      <c r="A218" s="6">
        <v>45964</v>
      </c>
      <c r="B218" s="5">
        <v>2025</v>
      </c>
      <c r="C218" s="5">
        <v>11</v>
      </c>
      <c r="D218" s="5" t="s">
        <v>987</v>
      </c>
      <c r="E218" s="5" t="s">
        <v>986</v>
      </c>
      <c r="F218" s="5">
        <v>3</v>
      </c>
      <c r="G218" s="5" t="s">
        <v>978</v>
      </c>
    </row>
    <row r="219" spans="1:7">
      <c r="A219" s="6">
        <v>45965</v>
      </c>
      <c r="B219" s="5">
        <v>2025</v>
      </c>
      <c r="C219" s="5">
        <v>11</v>
      </c>
      <c r="D219" s="5" t="s">
        <v>987</v>
      </c>
      <c r="E219" s="5" t="s">
        <v>986</v>
      </c>
      <c r="F219" s="5">
        <v>4</v>
      </c>
      <c r="G219" s="5" t="s">
        <v>972</v>
      </c>
    </row>
    <row r="220" spans="1:7">
      <c r="A220" s="6">
        <v>45966</v>
      </c>
      <c r="B220" s="5">
        <v>2025</v>
      </c>
      <c r="C220" s="5">
        <v>11</v>
      </c>
      <c r="D220" s="5" t="s">
        <v>987</v>
      </c>
      <c r="E220" s="5" t="s">
        <v>986</v>
      </c>
      <c r="F220" s="5">
        <v>5</v>
      </c>
      <c r="G220" s="5" t="s">
        <v>973</v>
      </c>
    </row>
    <row r="221" spans="1:7">
      <c r="A221" s="6">
        <v>45967</v>
      </c>
      <c r="B221" s="5">
        <v>2025</v>
      </c>
      <c r="C221" s="5">
        <v>11</v>
      </c>
      <c r="D221" s="5" t="s">
        <v>987</v>
      </c>
      <c r="E221" s="5" t="s">
        <v>986</v>
      </c>
      <c r="F221" s="5">
        <v>6</v>
      </c>
      <c r="G221" s="5" t="s">
        <v>974</v>
      </c>
    </row>
    <row r="222" spans="1:7">
      <c r="A222" s="6">
        <v>45968</v>
      </c>
      <c r="B222" s="5">
        <v>2025</v>
      </c>
      <c r="C222" s="5">
        <v>11</v>
      </c>
      <c r="D222" s="5" t="s">
        <v>987</v>
      </c>
      <c r="E222" s="5" t="s">
        <v>986</v>
      </c>
      <c r="F222" s="5">
        <v>7</v>
      </c>
      <c r="G222" s="5" t="s">
        <v>975</v>
      </c>
    </row>
    <row r="223" spans="1:7">
      <c r="A223" s="6">
        <v>45969</v>
      </c>
      <c r="B223" s="5">
        <v>2025</v>
      </c>
      <c r="C223" s="5">
        <v>11</v>
      </c>
      <c r="D223" s="5" t="s">
        <v>987</v>
      </c>
      <c r="E223" s="5" t="s">
        <v>986</v>
      </c>
      <c r="F223" s="5">
        <v>8</v>
      </c>
      <c r="G223" s="5" t="s">
        <v>976</v>
      </c>
    </row>
    <row r="224" spans="1:7">
      <c r="A224" s="6">
        <v>45970</v>
      </c>
      <c r="B224" s="5">
        <v>2025</v>
      </c>
      <c r="C224" s="5">
        <v>11</v>
      </c>
      <c r="D224" s="5" t="s">
        <v>987</v>
      </c>
      <c r="E224" s="5" t="s">
        <v>986</v>
      </c>
      <c r="F224" s="5">
        <v>9</v>
      </c>
      <c r="G224" s="5" t="s">
        <v>977</v>
      </c>
    </row>
    <row r="225" spans="1:7">
      <c r="A225" s="6">
        <v>45971</v>
      </c>
      <c r="B225" s="5">
        <v>2025</v>
      </c>
      <c r="C225" s="5">
        <v>11</v>
      </c>
      <c r="D225" s="5" t="s">
        <v>987</v>
      </c>
      <c r="E225" s="5" t="s">
        <v>986</v>
      </c>
      <c r="F225" s="5">
        <v>10</v>
      </c>
      <c r="G225" s="5" t="s">
        <v>978</v>
      </c>
    </row>
    <row r="226" spans="1:7">
      <c r="A226" s="6">
        <v>45972</v>
      </c>
      <c r="B226" s="5">
        <v>2025</v>
      </c>
      <c r="C226" s="5">
        <v>11</v>
      </c>
      <c r="D226" s="5" t="s">
        <v>987</v>
      </c>
      <c r="E226" s="5" t="s">
        <v>986</v>
      </c>
      <c r="F226" s="5">
        <v>11</v>
      </c>
      <c r="G226" s="5" t="s">
        <v>972</v>
      </c>
    </row>
    <row r="227" spans="1:7">
      <c r="A227" s="6">
        <v>45973</v>
      </c>
      <c r="B227" s="5">
        <v>2025</v>
      </c>
      <c r="C227" s="5">
        <v>11</v>
      </c>
      <c r="D227" s="5" t="s">
        <v>987</v>
      </c>
      <c r="E227" s="5" t="s">
        <v>986</v>
      </c>
      <c r="F227" s="5">
        <v>12</v>
      </c>
      <c r="G227" s="5" t="s">
        <v>973</v>
      </c>
    </row>
    <row r="228" spans="1:7">
      <c r="A228" s="6">
        <v>45974</v>
      </c>
      <c r="B228" s="5">
        <v>2025</v>
      </c>
      <c r="C228" s="5">
        <v>11</v>
      </c>
      <c r="D228" s="5" t="s">
        <v>987</v>
      </c>
      <c r="E228" s="5" t="s">
        <v>986</v>
      </c>
      <c r="F228" s="5">
        <v>13</v>
      </c>
      <c r="G228" s="5" t="s">
        <v>974</v>
      </c>
    </row>
    <row r="229" spans="1:7">
      <c r="A229" s="6">
        <v>45975</v>
      </c>
      <c r="B229" s="5">
        <v>2025</v>
      </c>
      <c r="C229" s="5">
        <v>11</v>
      </c>
      <c r="D229" s="5" t="s">
        <v>987</v>
      </c>
      <c r="E229" s="5" t="s">
        <v>986</v>
      </c>
      <c r="F229" s="5">
        <v>14</v>
      </c>
      <c r="G229" s="5" t="s">
        <v>975</v>
      </c>
    </row>
    <row r="230" spans="1:7">
      <c r="A230" s="6">
        <v>45976</v>
      </c>
      <c r="B230" s="5">
        <v>2025</v>
      </c>
      <c r="C230" s="5">
        <v>11</v>
      </c>
      <c r="D230" s="5" t="s">
        <v>987</v>
      </c>
      <c r="E230" s="5" t="s">
        <v>986</v>
      </c>
      <c r="F230" s="5">
        <v>15</v>
      </c>
      <c r="G230" s="5" t="s">
        <v>976</v>
      </c>
    </row>
    <row r="231" spans="1:7">
      <c r="A231" s="6">
        <v>45977</v>
      </c>
      <c r="B231" s="5">
        <v>2025</v>
      </c>
      <c r="C231" s="5">
        <v>11</v>
      </c>
      <c r="D231" s="5" t="s">
        <v>987</v>
      </c>
      <c r="E231" s="5" t="s">
        <v>986</v>
      </c>
      <c r="F231" s="5">
        <v>16</v>
      </c>
      <c r="G231" s="5" t="s">
        <v>977</v>
      </c>
    </row>
    <row r="232" spans="1:7">
      <c r="A232" s="6">
        <v>45978</v>
      </c>
      <c r="B232" s="5">
        <v>2025</v>
      </c>
      <c r="C232" s="5">
        <v>11</v>
      </c>
      <c r="D232" s="5" t="s">
        <v>987</v>
      </c>
      <c r="E232" s="5" t="s">
        <v>986</v>
      </c>
      <c r="F232" s="5">
        <v>17</v>
      </c>
      <c r="G232" s="5" t="s">
        <v>978</v>
      </c>
    </row>
    <row r="233" spans="1:7">
      <c r="A233" s="6">
        <v>45979</v>
      </c>
      <c r="B233" s="5">
        <v>2025</v>
      </c>
      <c r="C233" s="5">
        <v>11</v>
      </c>
      <c r="D233" s="5" t="s">
        <v>987</v>
      </c>
      <c r="E233" s="5" t="s">
        <v>986</v>
      </c>
      <c r="F233" s="5">
        <v>18</v>
      </c>
      <c r="G233" s="5" t="s">
        <v>972</v>
      </c>
    </row>
    <row r="234" spans="1:7">
      <c r="A234" s="6">
        <v>45980</v>
      </c>
      <c r="B234" s="5">
        <v>2025</v>
      </c>
      <c r="C234" s="5">
        <v>11</v>
      </c>
      <c r="D234" s="5" t="s">
        <v>987</v>
      </c>
      <c r="E234" s="5" t="s">
        <v>986</v>
      </c>
      <c r="F234" s="5">
        <v>19</v>
      </c>
      <c r="G234" s="5" t="s">
        <v>973</v>
      </c>
    </row>
    <row r="235" spans="1:7">
      <c r="A235" s="6">
        <v>45981</v>
      </c>
      <c r="B235" s="5">
        <v>2025</v>
      </c>
      <c r="C235" s="5">
        <v>11</v>
      </c>
      <c r="D235" s="5" t="s">
        <v>987</v>
      </c>
      <c r="E235" s="5" t="s">
        <v>986</v>
      </c>
      <c r="F235" s="5">
        <v>20</v>
      </c>
      <c r="G235" s="5" t="s">
        <v>974</v>
      </c>
    </row>
    <row r="236" spans="1:7">
      <c r="A236" s="6">
        <v>45982</v>
      </c>
      <c r="B236" s="5">
        <v>2025</v>
      </c>
      <c r="C236" s="5">
        <v>11</v>
      </c>
      <c r="D236" s="5" t="s">
        <v>987</v>
      </c>
      <c r="E236" s="5" t="s">
        <v>986</v>
      </c>
      <c r="F236" s="5">
        <v>21</v>
      </c>
      <c r="G236" s="5" t="s">
        <v>975</v>
      </c>
    </row>
    <row r="237" spans="1:7">
      <c r="A237" s="6">
        <v>45983</v>
      </c>
      <c r="B237" s="5">
        <v>2025</v>
      </c>
      <c r="C237" s="5">
        <v>11</v>
      </c>
      <c r="D237" s="5" t="s">
        <v>987</v>
      </c>
      <c r="E237" s="5" t="s">
        <v>986</v>
      </c>
      <c r="F237" s="5">
        <v>22</v>
      </c>
      <c r="G237" s="5" t="s">
        <v>976</v>
      </c>
    </row>
    <row r="238" spans="1:7">
      <c r="A238" s="6">
        <v>45984</v>
      </c>
      <c r="B238" s="5">
        <v>2025</v>
      </c>
      <c r="C238" s="5">
        <v>11</v>
      </c>
      <c r="D238" s="5" t="s">
        <v>987</v>
      </c>
      <c r="E238" s="5" t="s">
        <v>986</v>
      </c>
      <c r="F238" s="5">
        <v>23</v>
      </c>
      <c r="G238" s="5" t="s">
        <v>977</v>
      </c>
    </row>
    <row r="239" spans="1:7">
      <c r="A239" s="6">
        <v>45985</v>
      </c>
      <c r="B239" s="5">
        <v>2025</v>
      </c>
      <c r="C239" s="5">
        <v>11</v>
      </c>
      <c r="D239" s="5" t="s">
        <v>987</v>
      </c>
      <c r="E239" s="5" t="s">
        <v>986</v>
      </c>
      <c r="F239" s="5">
        <v>24</v>
      </c>
      <c r="G239" s="5" t="s">
        <v>978</v>
      </c>
    </row>
    <row r="240" spans="1:7">
      <c r="A240" s="6">
        <v>45986</v>
      </c>
      <c r="B240" s="5">
        <v>2025</v>
      </c>
      <c r="C240" s="5">
        <v>11</v>
      </c>
      <c r="D240" s="5" t="s">
        <v>987</v>
      </c>
      <c r="E240" s="5" t="s">
        <v>986</v>
      </c>
      <c r="F240" s="5">
        <v>25</v>
      </c>
      <c r="G240" s="5" t="s">
        <v>972</v>
      </c>
    </row>
    <row r="241" spans="1:7">
      <c r="A241" s="6">
        <v>45987</v>
      </c>
      <c r="B241" s="5">
        <v>2025</v>
      </c>
      <c r="C241" s="5">
        <v>11</v>
      </c>
      <c r="D241" s="5" t="s">
        <v>987</v>
      </c>
      <c r="E241" s="5" t="s">
        <v>986</v>
      </c>
      <c r="F241" s="5">
        <v>26</v>
      </c>
      <c r="G241" s="5" t="s">
        <v>973</v>
      </c>
    </row>
    <row r="242" spans="1:7">
      <c r="A242" s="6">
        <v>45988</v>
      </c>
      <c r="B242" s="5">
        <v>2025</v>
      </c>
      <c r="C242" s="5">
        <v>11</v>
      </c>
      <c r="D242" s="5" t="s">
        <v>987</v>
      </c>
      <c r="E242" s="5" t="s">
        <v>986</v>
      </c>
      <c r="F242" s="5">
        <v>27</v>
      </c>
      <c r="G242" s="5" t="s">
        <v>974</v>
      </c>
    </row>
    <row r="243" spans="1:7">
      <c r="A243" s="6">
        <v>45989</v>
      </c>
      <c r="B243" s="5">
        <v>2025</v>
      </c>
      <c r="C243" s="5">
        <v>11</v>
      </c>
      <c r="D243" s="5" t="s">
        <v>987</v>
      </c>
      <c r="E243" s="5" t="s">
        <v>986</v>
      </c>
      <c r="F243" s="5">
        <v>28</v>
      </c>
      <c r="G243" s="5" t="s">
        <v>975</v>
      </c>
    </row>
    <row r="244" spans="1:7">
      <c r="A244" s="6">
        <v>45990</v>
      </c>
      <c r="B244" s="5">
        <v>2025</v>
      </c>
      <c r="C244" s="5">
        <v>11</v>
      </c>
      <c r="D244" s="5" t="s">
        <v>987</v>
      </c>
      <c r="E244" s="5" t="s">
        <v>986</v>
      </c>
      <c r="F244" s="5">
        <v>29</v>
      </c>
      <c r="G244" s="5" t="s">
        <v>976</v>
      </c>
    </row>
    <row r="245" spans="1:7">
      <c r="A245" s="6">
        <v>45991</v>
      </c>
      <c r="B245" s="5">
        <v>2025</v>
      </c>
      <c r="C245" s="5">
        <v>11</v>
      </c>
      <c r="D245" s="5" t="s">
        <v>987</v>
      </c>
      <c r="E245" s="5" t="s">
        <v>986</v>
      </c>
      <c r="F245" s="5">
        <v>30</v>
      </c>
      <c r="G245" s="5" t="s">
        <v>977</v>
      </c>
    </row>
    <row r="246" spans="1:7">
      <c r="A246" s="6">
        <v>45992</v>
      </c>
      <c r="B246" s="5">
        <v>2025</v>
      </c>
      <c r="C246" s="5">
        <v>12</v>
      </c>
      <c r="D246" s="5" t="s">
        <v>988</v>
      </c>
      <c r="E246" s="5" t="s">
        <v>986</v>
      </c>
      <c r="F246" s="5">
        <v>1</v>
      </c>
      <c r="G246" s="5" t="s">
        <v>978</v>
      </c>
    </row>
    <row r="247" spans="1:7">
      <c r="A247" s="6">
        <v>45993</v>
      </c>
      <c r="B247" s="5">
        <v>2025</v>
      </c>
      <c r="C247" s="5">
        <v>12</v>
      </c>
      <c r="D247" s="5" t="s">
        <v>988</v>
      </c>
      <c r="E247" s="5" t="s">
        <v>986</v>
      </c>
      <c r="F247" s="5">
        <v>2</v>
      </c>
      <c r="G247" s="5" t="s">
        <v>972</v>
      </c>
    </row>
    <row r="248" spans="1:7">
      <c r="A248" s="6">
        <v>45994</v>
      </c>
      <c r="B248" s="5">
        <v>2025</v>
      </c>
      <c r="C248" s="5">
        <v>12</v>
      </c>
      <c r="D248" s="5" t="s">
        <v>988</v>
      </c>
      <c r="E248" s="5" t="s">
        <v>986</v>
      </c>
      <c r="F248" s="5">
        <v>3</v>
      </c>
      <c r="G248" s="5" t="s">
        <v>973</v>
      </c>
    </row>
    <row r="249" spans="1:7">
      <c r="A249" s="6">
        <v>45995</v>
      </c>
      <c r="B249" s="5">
        <v>2025</v>
      </c>
      <c r="C249" s="5">
        <v>12</v>
      </c>
      <c r="D249" s="5" t="s">
        <v>988</v>
      </c>
      <c r="E249" s="5" t="s">
        <v>986</v>
      </c>
      <c r="F249" s="5">
        <v>4</v>
      </c>
      <c r="G249" s="5" t="s">
        <v>974</v>
      </c>
    </row>
    <row r="250" spans="1:7">
      <c r="A250" s="6">
        <v>45996</v>
      </c>
      <c r="B250" s="5">
        <v>2025</v>
      </c>
      <c r="C250" s="5">
        <v>12</v>
      </c>
      <c r="D250" s="5" t="s">
        <v>988</v>
      </c>
      <c r="E250" s="5" t="s">
        <v>986</v>
      </c>
      <c r="F250" s="5">
        <v>5</v>
      </c>
      <c r="G250" s="5" t="s">
        <v>975</v>
      </c>
    </row>
    <row r="251" spans="1:7">
      <c r="A251" s="6">
        <v>45997</v>
      </c>
      <c r="B251" s="5">
        <v>2025</v>
      </c>
      <c r="C251" s="5">
        <v>12</v>
      </c>
      <c r="D251" s="5" t="s">
        <v>988</v>
      </c>
      <c r="E251" s="5" t="s">
        <v>986</v>
      </c>
      <c r="F251" s="5">
        <v>6</v>
      </c>
      <c r="G251" s="5" t="s">
        <v>976</v>
      </c>
    </row>
    <row r="252" spans="1:7">
      <c r="A252" s="6">
        <v>45998</v>
      </c>
      <c r="B252" s="5">
        <v>2025</v>
      </c>
      <c r="C252" s="5">
        <v>12</v>
      </c>
      <c r="D252" s="5" t="s">
        <v>988</v>
      </c>
      <c r="E252" s="5" t="s">
        <v>986</v>
      </c>
      <c r="F252" s="5">
        <v>7</v>
      </c>
      <c r="G252" s="5" t="s">
        <v>977</v>
      </c>
    </row>
    <row r="253" spans="1:7">
      <c r="A253" s="6">
        <v>45999</v>
      </c>
      <c r="B253" s="5">
        <v>2025</v>
      </c>
      <c r="C253" s="5">
        <v>12</v>
      </c>
      <c r="D253" s="5" t="s">
        <v>988</v>
      </c>
      <c r="E253" s="5" t="s">
        <v>986</v>
      </c>
      <c r="F253" s="5">
        <v>8</v>
      </c>
      <c r="G253" s="5" t="s">
        <v>978</v>
      </c>
    </row>
    <row r="254" spans="1:7">
      <c r="A254" s="6">
        <v>46000</v>
      </c>
      <c r="B254" s="5">
        <v>2025</v>
      </c>
      <c r="C254" s="5">
        <v>12</v>
      </c>
      <c r="D254" s="5" t="s">
        <v>988</v>
      </c>
      <c r="E254" s="5" t="s">
        <v>986</v>
      </c>
      <c r="F254" s="5">
        <v>9</v>
      </c>
      <c r="G254" s="5" t="s">
        <v>972</v>
      </c>
    </row>
    <row r="255" spans="1:7">
      <c r="A255" s="6">
        <v>46001</v>
      </c>
      <c r="B255" s="5">
        <v>2025</v>
      </c>
      <c r="C255" s="5">
        <v>12</v>
      </c>
      <c r="D255" s="5" t="s">
        <v>988</v>
      </c>
      <c r="E255" s="5" t="s">
        <v>986</v>
      </c>
      <c r="F255" s="5">
        <v>10</v>
      </c>
      <c r="G255" s="5" t="s">
        <v>973</v>
      </c>
    </row>
    <row r="256" spans="1:7">
      <c r="A256" s="6">
        <v>46002</v>
      </c>
      <c r="B256" s="5">
        <v>2025</v>
      </c>
      <c r="C256" s="5">
        <v>12</v>
      </c>
      <c r="D256" s="5" t="s">
        <v>988</v>
      </c>
      <c r="E256" s="5" t="s">
        <v>986</v>
      </c>
      <c r="F256" s="5">
        <v>11</v>
      </c>
      <c r="G256" s="5" t="s">
        <v>974</v>
      </c>
    </row>
    <row r="257" spans="1:7">
      <c r="A257" s="6">
        <v>46003</v>
      </c>
      <c r="B257" s="5">
        <v>2025</v>
      </c>
      <c r="C257" s="5">
        <v>12</v>
      </c>
      <c r="D257" s="5" t="s">
        <v>988</v>
      </c>
      <c r="E257" s="5" t="s">
        <v>986</v>
      </c>
      <c r="F257" s="5">
        <v>12</v>
      </c>
      <c r="G257" s="5" t="s">
        <v>975</v>
      </c>
    </row>
    <row r="258" spans="1:7">
      <c r="A258" s="6">
        <v>46004</v>
      </c>
      <c r="B258" s="5">
        <v>2025</v>
      </c>
      <c r="C258" s="5">
        <v>12</v>
      </c>
      <c r="D258" s="5" t="s">
        <v>988</v>
      </c>
      <c r="E258" s="5" t="s">
        <v>986</v>
      </c>
      <c r="F258" s="5">
        <v>13</v>
      </c>
      <c r="G258" s="5" t="s">
        <v>976</v>
      </c>
    </row>
    <row r="259" spans="1:7">
      <c r="A259" s="6">
        <v>46005</v>
      </c>
      <c r="B259" s="5">
        <v>2025</v>
      </c>
      <c r="C259" s="5">
        <v>12</v>
      </c>
      <c r="D259" s="5" t="s">
        <v>988</v>
      </c>
      <c r="E259" s="5" t="s">
        <v>986</v>
      </c>
      <c r="F259" s="5">
        <v>14</v>
      </c>
      <c r="G259" s="5" t="s">
        <v>977</v>
      </c>
    </row>
    <row r="260" spans="1:7">
      <c r="A260" s="6">
        <v>46006</v>
      </c>
      <c r="B260" s="5">
        <v>2025</v>
      </c>
      <c r="C260" s="5">
        <v>12</v>
      </c>
      <c r="D260" s="5" t="s">
        <v>988</v>
      </c>
      <c r="E260" s="5" t="s">
        <v>986</v>
      </c>
      <c r="F260" s="5">
        <v>15</v>
      </c>
      <c r="G260" s="5" t="s">
        <v>978</v>
      </c>
    </row>
    <row r="261" spans="1:7">
      <c r="A261" s="6">
        <v>46007</v>
      </c>
      <c r="B261" s="5">
        <v>2025</v>
      </c>
      <c r="C261" s="5">
        <v>12</v>
      </c>
      <c r="D261" s="5" t="s">
        <v>988</v>
      </c>
      <c r="E261" s="5" t="s">
        <v>986</v>
      </c>
      <c r="F261" s="5">
        <v>16</v>
      </c>
      <c r="G261" s="5" t="s">
        <v>972</v>
      </c>
    </row>
    <row r="262" spans="1:7">
      <c r="A262" s="6">
        <v>46008</v>
      </c>
      <c r="B262" s="5">
        <v>2025</v>
      </c>
      <c r="C262" s="5">
        <v>12</v>
      </c>
      <c r="D262" s="5" t="s">
        <v>988</v>
      </c>
      <c r="E262" s="5" t="s">
        <v>986</v>
      </c>
      <c r="F262" s="5">
        <v>17</v>
      </c>
      <c r="G262" s="5" t="s">
        <v>973</v>
      </c>
    </row>
    <row r="263" spans="1:7">
      <c r="A263" s="6">
        <v>46009</v>
      </c>
      <c r="B263" s="5">
        <v>2025</v>
      </c>
      <c r="C263" s="5">
        <v>12</v>
      </c>
      <c r="D263" s="5" t="s">
        <v>988</v>
      </c>
      <c r="E263" s="5" t="s">
        <v>986</v>
      </c>
      <c r="F263" s="5">
        <v>18</v>
      </c>
      <c r="G263" s="5" t="s">
        <v>974</v>
      </c>
    </row>
    <row r="264" spans="1:7">
      <c r="A264" s="6">
        <v>46010</v>
      </c>
      <c r="B264" s="5">
        <v>2025</v>
      </c>
      <c r="C264" s="5">
        <v>12</v>
      </c>
      <c r="D264" s="5" t="s">
        <v>988</v>
      </c>
      <c r="E264" s="5" t="s">
        <v>986</v>
      </c>
      <c r="F264" s="5">
        <v>19</v>
      </c>
      <c r="G264" s="5" t="s">
        <v>975</v>
      </c>
    </row>
    <row r="265" spans="1:7">
      <c r="A265" s="6">
        <v>46011</v>
      </c>
      <c r="B265" s="5">
        <v>2025</v>
      </c>
      <c r="C265" s="5">
        <v>12</v>
      </c>
      <c r="D265" s="5" t="s">
        <v>988</v>
      </c>
      <c r="E265" s="5" t="s">
        <v>986</v>
      </c>
      <c r="F265" s="5">
        <v>20</v>
      </c>
      <c r="G265" s="5" t="s">
        <v>976</v>
      </c>
    </row>
    <row r="266" spans="1:7">
      <c r="A266" s="6">
        <v>46012</v>
      </c>
      <c r="B266" s="5">
        <v>2025</v>
      </c>
      <c r="C266" s="5">
        <v>12</v>
      </c>
      <c r="D266" s="5" t="s">
        <v>988</v>
      </c>
      <c r="E266" s="5" t="s">
        <v>986</v>
      </c>
      <c r="F266" s="5">
        <v>21</v>
      </c>
      <c r="G266" s="5" t="s">
        <v>977</v>
      </c>
    </row>
    <row r="267" spans="1:7">
      <c r="A267" s="6">
        <v>46013</v>
      </c>
      <c r="B267" s="5">
        <v>2025</v>
      </c>
      <c r="C267" s="5">
        <v>12</v>
      </c>
      <c r="D267" s="5" t="s">
        <v>988</v>
      </c>
      <c r="E267" s="5" t="s">
        <v>986</v>
      </c>
      <c r="F267" s="5">
        <v>22</v>
      </c>
      <c r="G267" s="5" t="s">
        <v>978</v>
      </c>
    </row>
    <row r="268" spans="1:7">
      <c r="A268" s="6">
        <v>46014</v>
      </c>
      <c r="B268" s="5">
        <v>2025</v>
      </c>
      <c r="C268" s="5">
        <v>12</v>
      </c>
      <c r="D268" s="5" t="s">
        <v>988</v>
      </c>
      <c r="E268" s="5" t="s">
        <v>986</v>
      </c>
      <c r="F268" s="5">
        <v>23</v>
      </c>
      <c r="G268" s="5" t="s">
        <v>972</v>
      </c>
    </row>
    <row r="269" spans="1:7">
      <c r="A269" s="6">
        <v>46015</v>
      </c>
      <c r="B269" s="5">
        <v>2025</v>
      </c>
      <c r="C269" s="5">
        <v>12</v>
      </c>
      <c r="D269" s="5" t="s">
        <v>988</v>
      </c>
      <c r="E269" s="5" t="s">
        <v>986</v>
      </c>
      <c r="F269" s="5">
        <v>24</v>
      </c>
      <c r="G269" s="5" t="s">
        <v>973</v>
      </c>
    </row>
    <row r="270" spans="1:7">
      <c r="A270" s="6">
        <v>46016</v>
      </c>
      <c r="B270" s="5">
        <v>2025</v>
      </c>
      <c r="C270" s="5">
        <v>12</v>
      </c>
      <c r="D270" s="5" t="s">
        <v>988</v>
      </c>
      <c r="E270" s="5" t="s">
        <v>986</v>
      </c>
      <c r="F270" s="5">
        <v>25</v>
      </c>
      <c r="G270" s="5" t="s">
        <v>974</v>
      </c>
    </row>
    <row r="271" spans="1:7">
      <c r="A271" s="6">
        <v>46017</v>
      </c>
      <c r="B271" s="5">
        <v>2025</v>
      </c>
      <c r="C271" s="5">
        <v>12</v>
      </c>
      <c r="D271" s="5" t="s">
        <v>988</v>
      </c>
      <c r="E271" s="5" t="s">
        <v>986</v>
      </c>
      <c r="F271" s="5">
        <v>26</v>
      </c>
      <c r="G271" s="5" t="s">
        <v>975</v>
      </c>
    </row>
    <row r="272" spans="1:7">
      <c r="A272" s="6">
        <v>46018</v>
      </c>
      <c r="B272" s="5">
        <v>2025</v>
      </c>
      <c r="C272" s="5">
        <v>12</v>
      </c>
      <c r="D272" s="5" t="s">
        <v>988</v>
      </c>
      <c r="E272" s="5" t="s">
        <v>986</v>
      </c>
      <c r="F272" s="5">
        <v>27</v>
      </c>
      <c r="G272" s="5" t="s">
        <v>976</v>
      </c>
    </row>
    <row r="273" spans="1:7">
      <c r="A273" s="6">
        <v>46019</v>
      </c>
      <c r="B273" s="5">
        <v>2025</v>
      </c>
      <c r="C273" s="5">
        <v>12</v>
      </c>
      <c r="D273" s="5" t="s">
        <v>988</v>
      </c>
      <c r="E273" s="5" t="s">
        <v>986</v>
      </c>
      <c r="F273" s="5">
        <v>28</v>
      </c>
      <c r="G273" s="5" t="s">
        <v>977</v>
      </c>
    </row>
    <row r="274" spans="1:7">
      <c r="A274" s="6">
        <v>46020</v>
      </c>
      <c r="B274" s="5">
        <v>2025</v>
      </c>
      <c r="C274" s="5">
        <v>12</v>
      </c>
      <c r="D274" s="5" t="s">
        <v>988</v>
      </c>
      <c r="E274" s="5" t="s">
        <v>986</v>
      </c>
      <c r="F274" s="5">
        <v>29</v>
      </c>
      <c r="G274" s="5" t="s">
        <v>978</v>
      </c>
    </row>
    <row r="275" spans="1:7">
      <c r="A275" s="6">
        <v>46021</v>
      </c>
      <c r="B275" s="5">
        <v>2025</v>
      </c>
      <c r="C275" s="5">
        <v>12</v>
      </c>
      <c r="D275" s="5" t="s">
        <v>988</v>
      </c>
      <c r="E275" s="5" t="s">
        <v>986</v>
      </c>
      <c r="F275" s="5">
        <v>30</v>
      </c>
      <c r="G275" s="5" t="s">
        <v>972</v>
      </c>
    </row>
    <row r="276" spans="1:7">
      <c r="A276" s="6">
        <v>46022</v>
      </c>
      <c r="B276" s="5">
        <v>2025</v>
      </c>
      <c r="C276" s="5">
        <v>12</v>
      </c>
      <c r="D276" s="5" t="s">
        <v>988</v>
      </c>
      <c r="E276" s="5" t="s">
        <v>986</v>
      </c>
      <c r="F276" s="5">
        <v>31</v>
      </c>
      <c r="G276" s="5" t="s">
        <v>973</v>
      </c>
    </row>
    <row r="277" spans="1:7">
      <c r="A277" s="6">
        <v>45658</v>
      </c>
      <c r="B277" s="5">
        <v>2025</v>
      </c>
      <c r="C277" s="5">
        <v>1</v>
      </c>
      <c r="D277" s="5" t="s">
        <v>989</v>
      </c>
      <c r="E277" s="5" t="s">
        <v>990</v>
      </c>
      <c r="F277" s="5">
        <v>1</v>
      </c>
      <c r="G277" s="5" t="s">
        <v>973</v>
      </c>
    </row>
    <row r="278" spans="1:7">
      <c r="A278" s="6">
        <v>45659</v>
      </c>
      <c r="B278" s="5">
        <v>2025</v>
      </c>
      <c r="C278" s="5">
        <v>1</v>
      </c>
      <c r="D278" s="5" t="s">
        <v>989</v>
      </c>
      <c r="E278" s="5" t="s">
        <v>990</v>
      </c>
      <c r="F278" s="5">
        <v>2</v>
      </c>
      <c r="G278" s="5" t="s">
        <v>974</v>
      </c>
    </row>
    <row r="279" spans="1:7">
      <c r="A279" s="6">
        <v>45660</v>
      </c>
      <c r="B279" s="5">
        <v>2025</v>
      </c>
      <c r="C279" s="5">
        <v>1</v>
      </c>
      <c r="D279" s="5" t="s">
        <v>989</v>
      </c>
      <c r="E279" s="5" t="s">
        <v>990</v>
      </c>
      <c r="F279" s="5">
        <v>3</v>
      </c>
      <c r="G279" s="5" t="s">
        <v>975</v>
      </c>
    </row>
    <row r="280" spans="1:7">
      <c r="A280" s="6">
        <v>45661</v>
      </c>
      <c r="B280" s="5">
        <v>2025</v>
      </c>
      <c r="C280" s="5">
        <v>1</v>
      </c>
      <c r="D280" s="5" t="s">
        <v>989</v>
      </c>
      <c r="E280" s="5" t="s">
        <v>990</v>
      </c>
      <c r="F280" s="5">
        <v>4</v>
      </c>
      <c r="G280" s="5" t="s">
        <v>976</v>
      </c>
    </row>
    <row r="281" spans="1:7">
      <c r="A281" s="6">
        <v>45662</v>
      </c>
      <c r="B281" s="5">
        <v>2025</v>
      </c>
      <c r="C281" s="5">
        <v>1</v>
      </c>
      <c r="D281" s="5" t="s">
        <v>989</v>
      </c>
      <c r="E281" s="5" t="s">
        <v>990</v>
      </c>
      <c r="F281" s="5">
        <v>5</v>
      </c>
      <c r="G281" s="5" t="s">
        <v>977</v>
      </c>
    </row>
    <row r="282" spans="1:7">
      <c r="A282" s="6">
        <v>45663</v>
      </c>
      <c r="B282" s="5">
        <v>2025</v>
      </c>
      <c r="C282" s="5">
        <v>1</v>
      </c>
      <c r="D282" s="5" t="s">
        <v>989</v>
      </c>
      <c r="E282" s="5" t="s">
        <v>990</v>
      </c>
      <c r="F282" s="5">
        <v>6</v>
      </c>
      <c r="G282" s="5" t="s">
        <v>978</v>
      </c>
    </row>
    <row r="283" spans="1:7">
      <c r="A283" s="6">
        <v>45664</v>
      </c>
      <c r="B283" s="5">
        <v>2025</v>
      </c>
      <c r="C283" s="5">
        <v>1</v>
      </c>
      <c r="D283" s="5" t="s">
        <v>989</v>
      </c>
      <c r="E283" s="5" t="s">
        <v>990</v>
      </c>
      <c r="F283" s="5">
        <v>7</v>
      </c>
      <c r="G283" s="5" t="s">
        <v>972</v>
      </c>
    </row>
    <row r="284" spans="1:7">
      <c r="A284" s="6">
        <v>45665</v>
      </c>
      <c r="B284" s="5">
        <v>2025</v>
      </c>
      <c r="C284" s="5">
        <v>1</v>
      </c>
      <c r="D284" s="5" t="s">
        <v>989</v>
      </c>
      <c r="E284" s="5" t="s">
        <v>990</v>
      </c>
      <c r="F284" s="5">
        <v>8</v>
      </c>
      <c r="G284" s="5" t="s">
        <v>973</v>
      </c>
    </row>
    <row r="285" spans="1:7">
      <c r="A285" s="6">
        <v>45666</v>
      </c>
      <c r="B285" s="5">
        <v>2025</v>
      </c>
      <c r="C285" s="5">
        <v>1</v>
      </c>
      <c r="D285" s="5" t="s">
        <v>989</v>
      </c>
      <c r="E285" s="5" t="s">
        <v>990</v>
      </c>
      <c r="F285" s="5">
        <v>9</v>
      </c>
      <c r="G285" s="5" t="s">
        <v>974</v>
      </c>
    </row>
    <row r="286" spans="1:7">
      <c r="A286" s="6">
        <v>45667</v>
      </c>
      <c r="B286" s="5">
        <v>2025</v>
      </c>
      <c r="C286" s="5">
        <v>1</v>
      </c>
      <c r="D286" s="5" t="s">
        <v>989</v>
      </c>
      <c r="E286" s="5" t="s">
        <v>990</v>
      </c>
      <c r="F286" s="5">
        <v>10</v>
      </c>
      <c r="G286" s="5" t="s">
        <v>975</v>
      </c>
    </row>
    <row r="287" spans="1:7">
      <c r="A287" s="6">
        <v>45668</v>
      </c>
      <c r="B287" s="5">
        <v>2025</v>
      </c>
      <c r="C287" s="5">
        <v>1</v>
      </c>
      <c r="D287" s="5" t="s">
        <v>989</v>
      </c>
      <c r="E287" s="5" t="s">
        <v>990</v>
      </c>
      <c r="F287" s="5">
        <v>11</v>
      </c>
      <c r="G287" s="5" t="s">
        <v>976</v>
      </c>
    </row>
    <row r="288" spans="1:7">
      <c r="A288" s="6">
        <v>45669</v>
      </c>
      <c r="B288" s="5">
        <v>2025</v>
      </c>
      <c r="C288" s="5">
        <v>1</v>
      </c>
      <c r="D288" s="5" t="s">
        <v>989</v>
      </c>
      <c r="E288" s="5" t="s">
        <v>990</v>
      </c>
      <c r="F288" s="5">
        <v>12</v>
      </c>
      <c r="G288" s="5" t="s">
        <v>977</v>
      </c>
    </row>
    <row r="289" spans="1:7">
      <c r="A289" s="6">
        <v>45670</v>
      </c>
      <c r="B289" s="5">
        <v>2025</v>
      </c>
      <c r="C289" s="5">
        <v>1</v>
      </c>
      <c r="D289" s="5" t="s">
        <v>989</v>
      </c>
      <c r="E289" s="5" t="s">
        <v>990</v>
      </c>
      <c r="F289" s="5">
        <v>13</v>
      </c>
      <c r="G289" s="5" t="s">
        <v>978</v>
      </c>
    </row>
    <row r="290" spans="1:7">
      <c r="A290" s="6">
        <v>45671</v>
      </c>
      <c r="B290" s="5">
        <v>2025</v>
      </c>
      <c r="C290" s="5">
        <v>1</v>
      </c>
      <c r="D290" s="5" t="s">
        <v>989</v>
      </c>
      <c r="E290" s="5" t="s">
        <v>990</v>
      </c>
      <c r="F290" s="5">
        <v>14</v>
      </c>
      <c r="G290" s="5" t="s">
        <v>972</v>
      </c>
    </row>
    <row r="291" spans="1:7">
      <c r="A291" s="6">
        <v>45672</v>
      </c>
      <c r="B291" s="5">
        <v>2025</v>
      </c>
      <c r="C291" s="5">
        <v>1</v>
      </c>
      <c r="D291" s="5" t="s">
        <v>989</v>
      </c>
      <c r="E291" s="5" t="s">
        <v>990</v>
      </c>
      <c r="F291" s="5">
        <v>15</v>
      </c>
      <c r="G291" s="5" t="s">
        <v>973</v>
      </c>
    </row>
    <row r="292" spans="1:7">
      <c r="A292" s="6">
        <v>45673</v>
      </c>
      <c r="B292" s="5">
        <v>2025</v>
      </c>
      <c r="C292" s="5">
        <v>1</v>
      </c>
      <c r="D292" s="5" t="s">
        <v>989</v>
      </c>
      <c r="E292" s="5" t="s">
        <v>990</v>
      </c>
      <c r="F292" s="5">
        <v>16</v>
      </c>
      <c r="G292" s="5" t="s">
        <v>974</v>
      </c>
    </row>
    <row r="293" spans="1:7">
      <c r="A293" s="6">
        <v>45674</v>
      </c>
      <c r="B293" s="5">
        <v>2025</v>
      </c>
      <c r="C293" s="5">
        <v>1</v>
      </c>
      <c r="D293" s="5" t="s">
        <v>989</v>
      </c>
      <c r="E293" s="5" t="s">
        <v>990</v>
      </c>
      <c r="F293" s="5">
        <v>17</v>
      </c>
      <c r="G293" s="5" t="s">
        <v>975</v>
      </c>
    </row>
    <row r="294" spans="1:7">
      <c r="A294" s="6">
        <v>45675</v>
      </c>
      <c r="B294" s="5">
        <v>2025</v>
      </c>
      <c r="C294" s="5">
        <v>1</v>
      </c>
      <c r="D294" s="5" t="s">
        <v>989</v>
      </c>
      <c r="E294" s="5" t="s">
        <v>990</v>
      </c>
      <c r="F294" s="5">
        <v>18</v>
      </c>
      <c r="G294" s="5" t="s">
        <v>976</v>
      </c>
    </row>
    <row r="295" spans="1:7">
      <c r="A295" s="6">
        <v>45676</v>
      </c>
      <c r="B295" s="5">
        <v>2025</v>
      </c>
      <c r="C295" s="5">
        <v>1</v>
      </c>
      <c r="D295" s="5" t="s">
        <v>989</v>
      </c>
      <c r="E295" s="5" t="s">
        <v>990</v>
      </c>
      <c r="F295" s="5">
        <v>19</v>
      </c>
      <c r="G295" s="5" t="s">
        <v>977</v>
      </c>
    </row>
    <row r="296" spans="1:7">
      <c r="A296" s="6">
        <v>45677</v>
      </c>
      <c r="B296" s="5">
        <v>2025</v>
      </c>
      <c r="C296" s="5">
        <v>1</v>
      </c>
      <c r="D296" s="5" t="s">
        <v>989</v>
      </c>
      <c r="E296" s="5" t="s">
        <v>990</v>
      </c>
      <c r="F296" s="5">
        <v>20</v>
      </c>
      <c r="G296" s="5" t="s">
        <v>978</v>
      </c>
    </row>
    <row r="297" spans="1:7">
      <c r="A297" s="6">
        <v>45678</v>
      </c>
      <c r="B297" s="5">
        <v>2025</v>
      </c>
      <c r="C297" s="5">
        <v>1</v>
      </c>
      <c r="D297" s="5" t="s">
        <v>989</v>
      </c>
      <c r="E297" s="5" t="s">
        <v>990</v>
      </c>
      <c r="F297" s="5">
        <v>21</v>
      </c>
      <c r="G297" s="5" t="s">
        <v>972</v>
      </c>
    </row>
    <row r="298" spans="1:7">
      <c r="A298" s="6">
        <v>45679</v>
      </c>
      <c r="B298" s="5">
        <v>2025</v>
      </c>
      <c r="C298" s="5">
        <v>1</v>
      </c>
      <c r="D298" s="5" t="s">
        <v>989</v>
      </c>
      <c r="E298" s="5" t="s">
        <v>990</v>
      </c>
      <c r="F298" s="5">
        <v>22</v>
      </c>
      <c r="G298" s="5" t="s">
        <v>973</v>
      </c>
    </row>
    <row r="299" spans="1:7">
      <c r="A299" s="6">
        <v>45680</v>
      </c>
      <c r="B299" s="5">
        <v>2025</v>
      </c>
      <c r="C299" s="5">
        <v>1</v>
      </c>
      <c r="D299" s="5" t="s">
        <v>989</v>
      </c>
      <c r="E299" s="5" t="s">
        <v>990</v>
      </c>
      <c r="F299" s="5">
        <v>23</v>
      </c>
      <c r="G299" s="5" t="s">
        <v>974</v>
      </c>
    </row>
    <row r="300" spans="1:7">
      <c r="A300" s="6">
        <v>45681</v>
      </c>
      <c r="B300" s="5">
        <v>2025</v>
      </c>
      <c r="C300" s="5">
        <v>1</v>
      </c>
      <c r="D300" s="5" t="s">
        <v>989</v>
      </c>
      <c r="E300" s="5" t="s">
        <v>990</v>
      </c>
      <c r="F300" s="5">
        <v>24</v>
      </c>
      <c r="G300" s="5" t="s">
        <v>975</v>
      </c>
    </row>
    <row r="301" spans="1:7">
      <c r="A301" s="6">
        <v>45682</v>
      </c>
      <c r="B301" s="5">
        <v>2025</v>
      </c>
      <c r="C301" s="5">
        <v>1</v>
      </c>
      <c r="D301" s="5" t="s">
        <v>989</v>
      </c>
      <c r="E301" s="5" t="s">
        <v>990</v>
      </c>
      <c r="F301" s="5">
        <v>25</v>
      </c>
      <c r="G301" s="5" t="s">
        <v>976</v>
      </c>
    </row>
    <row r="302" spans="1:7">
      <c r="A302" s="6">
        <v>45683</v>
      </c>
      <c r="B302" s="5">
        <v>2025</v>
      </c>
      <c r="C302" s="5">
        <v>1</v>
      </c>
      <c r="D302" s="5" t="s">
        <v>989</v>
      </c>
      <c r="E302" s="5" t="s">
        <v>990</v>
      </c>
      <c r="F302" s="5">
        <v>26</v>
      </c>
      <c r="G302" s="5" t="s">
        <v>977</v>
      </c>
    </row>
    <row r="303" spans="1:7">
      <c r="A303" s="6">
        <v>45684</v>
      </c>
      <c r="B303" s="5">
        <v>2025</v>
      </c>
      <c r="C303" s="5">
        <v>1</v>
      </c>
      <c r="D303" s="5" t="s">
        <v>989</v>
      </c>
      <c r="E303" s="5" t="s">
        <v>990</v>
      </c>
      <c r="F303" s="5">
        <v>27</v>
      </c>
      <c r="G303" s="5" t="s">
        <v>978</v>
      </c>
    </row>
    <row r="304" spans="1:7">
      <c r="A304" s="6">
        <v>45685</v>
      </c>
      <c r="B304" s="5">
        <v>2025</v>
      </c>
      <c r="C304" s="5">
        <v>1</v>
      </c>
      <c r="D304" s="5" t="s">
        <v>989</v>
      </c>
      <c r="E304" s="5" t="s">
        <v>990</v>
      </c>
      <c r="F304" s="5">
        <v>28</v>
      </c>
      <c r="G304" s="5" t="s">
        <v>972</v>
      </c>
    </row>
    <row r="305" spans="1:7">
      <c r="A305" s="6">
        <v>45686</v>
      </c>
      <c r="B305" s="5">
        <v>2025</v>
      </c>
      <c r="C305" s="5">
        <v>1</v>
      </c>
      <c r="D305" s="5" t="s">
        <v>989</v>
      </c>
      <c r="E305" s="5" t="s">
        <v>990</v>
      </c>
      <c r="F305" s="5">
        <v>29</v>
      </c>
      <c r="G305" s="5" t="s">
        <v>973</v>
      </c>
    </row>
    <row r="306" spans="1:7">
      <c r="A306" s="6">
        <v>45687</v>
      </c>
      <c r="B306" s="5">
        <v>2025</v>
      </c>
      <c r="C306" s="5">
        <v>1</v>
      </c>
      <c r="D306" s="5" t="s">
        <v>989</v>
      </c>
      <c r="E306" s="5" t="s">
        <v>990</v>
      </c>
      <c r="F306" s="5">
        <v>30</v>
      </c>
      <c r="G306" s="5" t="s">
        <v>974</v>
      </c>
    </row>
    <row r="307" spans="1:7">
      <c r="A307" s="6">
        <v>45688</v>
      </c>
      <c r="B307" s="5">
        <v>2025</v>
      </c>
      <c r="C307" s="5">
        <v>1</v>
      </c>
      <c r="D307" s="5" t="s">
        <v>989</v>
      </c>
      <c r="E307" s="5" t="s">
        <v>990</v>
      </c>
      <c r="F307" s="5">
        <v>31</v>
      </c>
      <c r="G307" s="5" t="s">
        <v>975</v>
      </c>
    </row>
    <row r="308" spans="1:7">
      <c r="A308" s="6">
        <v>45689</v>
      </c>
      <c r="B308" s="5">
        <v>2025</v>
      </c>
      <c r="C308" s="5">
        <v>2</v>
      </c>
      <c r="D308" s="5" t="s">
        <v>991</v>
      </c>
      <c r="E308" s="5" t="s">
        <v>990</v>
      </c>
      <c r="F308" s="5">
        <v>1</v>
      </c>
      <c r="G308" s="5" t="s">
        <v>976</v>
      </c>
    </row>
    <row r="309" spans="1:7">
      <c r="A309" s="6">
        <v>45690</v>
      </c>
      <c r="B309" s="5">
        <v>2025</v>
      </c>
      <c r="C309" s="5">
        <v>2</v>
      </c>
      <c r="D309" s="5" t="s">
        <v>991</v>
      </c>
      <c r="E309" s="5" t="s">
        <v>990</v>
      </c>
      <c r="F309" s="5">
        <v>2</v>
      </c>
      <c r="G309" s="5" t="s">
        <v>977</v>
      </c>
    </row>
    <row r="310" spans="1:7">
      <c r="A310" s="6">
        <v>45691</v>
      </c>
      <c r="B310" s="5">
        <v>2025</v>
      </c>
      <c r="C310" s="5">
        <v>2</v>
      </c>
      <c r="D310" s="5" t="s">
        <v>991</v>
      </c>
      <c r="E310" s="5" t="s">
        <v>990</v>
      </c>
      <c r="F310" s="5">
        <v>3</v>
      </c>
      <c r="G310" s="5" t="s">
        <v>978</v>
      </c>
    </row>
    <row r="311" spans="1:7">
      <c r="A311" s="6">
        <v>45692</v>
      </c>
      <c r="B311" s="5">
        <v>2025</v>
      </c>
      <c r="C311" s="5">
        <v>2</v>
      </c>
      <c r="D311" s="5" t="s">
        <v>991</v>
      </c>
      <c r="E311" s="5" t="s">
        <v>990</v>
      </c>
      <c r="F311" s="5">
        <v>4</v>
      </c>
      <c r="G311" s="5" t="s">
        <v>972</v>
      </c>
    </row>
    <row r="312" spans="1:7">
      <c r="A312" s="6">
        <v>45693</v>
      </c>
      <c r="B312" s="5">
        <v>2025</v>
      </c>
      <c r="C312" s="5">
        <v>2</v>
      </c>
      <c r="D312" s="5" t="s">
        <v>991</v>
      </c>
      <c r="E312" s="5" t="s">
        <v>990</v>
      </c>
      <c r="F312" s="5">
        <v>5</v>
      </c>
      <c r="G312" s="5" t="s">
        <v>973</v>
      </c>
    </row>
    <row r="313" spans="1:7">
      <c r="A313" s="6">
        <v>45694</v>
      </c>
      <c r="B313" s="5">
        <v>2025</v>
      </c>
      <c r="C313" s="5">
        <v>2</v>
      </c>
      <c r="D313" s="5" t="s">
        <v>991</v>
      </c>
      <c r="E313" s="5" t="s">
        <v>990</v>
      </c>
      <c r="F313" s="5">
        <v>6</v>
      </c>
      <c r="G313" s="5" t="s">
        <v>974</v>
      </c>
    </row>
    <row r="314" spans="1:7">
      <c r="A314" s="6">
        <v>45695</v>
      </c>
      <c r="B314" s="5">
        <v>2025</v>
      </c>
      <c r="C314" s="5">
        <v>2</v>
      </c>
      <c r="D314" s="5" t="s">
        <v>991</v>
      </c>
      <c r="E314" s="5" t="s">
        <v>990</v>
      </c>
      <c r="F314" s="5">
        <v>7</v>
      </c>
      <c r="G314" s="5" t="s">
        <v>975</v>
      </c>
    </row>
    <row r="315" spans="1:7">
      <c r="A315" s="6">
        <v>45696</v>
      </c>
      <c r="B315" s="5">
        <v>2025</v>
      </c>
      <c r="C315" s="5">
        <v>2</v>
      </c>
      <c r="D315" s="5" t="s">
        <v>991</v>
      </c>
      <c r="E315" s="5" t="s">
        <v>990</v>
      </c>
      <c r="F315" s="5">
        <v>8</v>
      </c>
      <c r="G315" s="5" t="s">
        <v>976</v>
      </c>
    </row>
    <row r="316" spans="1:7">
      <c r="A316" s="6">
        <v>45697</v>
      </c>
      <c r="B316" s="5">
        <v>2025</v>
      </c>
      <c r="C316" s="5">
        <v>2</v>
      </c>
      <c r="D316" s="5" t="s">
        <v>991</v>
      </c>
      <c r="E316" s="5" t="s">
        <v>990</v>
      </c>
      <c r="F316" s="5">
        <v>9</v>
      </c>
      <c r="G316" s="5" t="s">
        <v>977</v>
      </c>
    </row>
    <row r="317" spans="1:7">
      <c r="A317" s="6">
        <v>45698</v>
      </c>
      <c r="B317" s="5">
        <v>2025</v>
      </c>
      <c r="C317" s="5">
        <v>2</v>
      </c>
      <c r="D317" s="5" t="s">
        <v>991</v>
      </c>
      <c r="E317" s="5" t="s">
        <v>990</v>
      </c>
      <c r="F317" s="5">
        <v>10</v>
      </c>
      <c r="G317" s="5" t="s">
        <v>978</v>
      </c>
    </row>
    <row r="318" spans="1:7">
      <c r="A318" s="6">
        <v>45699</v>
      </c>
      <c r="B318" s="5">
        <v>2025</v>
      </c>
      <c r="C318" s="5">
        <v>2</v>
      </c>
      <c r="D318" s="5" t="s">
        <v>991</v>
      </c>
      <c r="E318" s="5" t="s">
        <v>990</v>
      </c>
      <c r="F318" s="5">
        <v>11</v>
      </c>
      <c r="G318" s="5" t="s">
        <v>972</v>
      </c>
    </row>
    <row r="319" spans="1:7">
      <c r="A319" s="6">
        <v>45700</v>
      </c>
      <c r="B319" s="5">
        <v>2025</v>
      </c>
      <c r="C319" s="5">
        <v>2</v>
      </c>
      <c r="D319" s="5" t="s">
        <v>991</v>
      </c>
      <c r="E319" s="5" t="s">
        <v>990</v>
      </c>
      <c r="F319" s="5">
        <v>12</v>
      </c>
      <c r="G319" s="5" t="s">
        <v>973</v>
      </c>
    </row>
    <row r="320" spans="1:7">
      <c r="A320" s="6">
        <v>45701</v>
      </c>
      <c r="B320" s="5">
        <v>2025</v>
      </c>
      <c r="C320" s="5">
        <v>2</v>
      </c>
      <c r="D320" s="5" t="s">
        <v>991</v>
      </c>
      <c r="E320" s="5" t="s">
        <v>990</v>
      </c>
      <c r="F320" s="5">
        <v>13</v>
      </c>
      <c r="G320" s="5" t="s">
        <v>974</v>
      </c>
    </row>
    <row r="321" spans="1:7">
      <c r="A321" s="6">
        <v>45702</v>
      </c>
      <c r="B321" s="5">
        <v>2025</v>
      </c>
      <c r="C321" s="5">
        <v>2</v>
      </c>
      <c r="D321" s="5" t="s">
        <v>991</v>
      </c>
      <c r="E321" s="5" t="s">
        <v>990</v>
      </c>
      <c r="F321" s="5">
        <v>14</v>
      </c>
      <c r="G321" s="5" t="s">
        <v>975</v>
      </c>
    </row>
    <row r="322" spans="1:7">
      <c r="A322" s="6">
        <v>45703</v>
      </c>
      <c r="B322" s="5">
        <v>2025</v>
      </c>
      <c r="C322" s="5">
        <v>2</v>
      </c>
      <c r="D322" s="5" t="s">
        <v>991</v>
      </c>
      <c r="E322" s="5" t="s">
        <v>990</v>
      </c>
      <c r="F322" s="5">
        <v>15</v>
      </c>
      <c r="G322" s="5" t="s">
        <v>976</v>
      </c>
    </row>
    <row r="323" spans="1:7">
      <c r="A323" s="6">
        <v>45704</v>
      </c>
      <c r="B323" s="5">
        <v>2025</v>
      </c>
      <c r="C323" s="5">
        <v>2</v>
      </c>
      <c r="D323" s="5" t="s">
        <v>991</v>
      </c>
      <c r="E323" s="5" t="s">
        <v>990</v>
      </c>
      <c r="F323" s="5">
        <v>16</v>
      </c>
      <c r="G323" s="5" t="s">
        <v>977</v>
      </c>
    </row>
    <row r="324" spans="1:7">
      <c r="A324" s="6">
        <v>45705</v>
      </c>
      <c r="B324" s="5">
        <v>2025</v>
      </c>
      <c r="C324" s="5">
        <v>2</v>
      </c>
      <c r="D324" s="5" t="s">
        <v>991</v>
      </c>
      <c r="E324" s="5" t="s">
        <v>990</v>
      </c>
      <c r="F324" s="5">
        <v>17</v>
      </c>
      <c r="G324" s="5" t="s">
        <v>978</v>
      </c>
    </row>
    <row r="325" spans="1:7">
      <c r="A325" s="6">
        <v>45706</v>
      </c>
      <c r="B325" s="5">
        <v>2025</v>
      </c>
      <c r="C325" s="5">
        <v>2</v>
      </c>
      <c r="D325" s="5" t="s">
        <v>991</v>
      </c>
      <c r="E325" s="5" t="s">
        <v>990</v>
      </c>
      <c r="F325" s="5">
        <v>18</v>
      </c>
      <c r="G325" s="5" t="s">
        <v>972</v>
      </c>
    </row>
    <row r="326" spans="1:7">
      <c r="A326" s="6">
        <v>45707</v>
      </c>
      <c r="B326" s="5">
        <v>2025</v>
      </c>
      <c r="C326" s="5">
        <v>2</v>
      </c>
      <c r="D326" s="5" t="s">
        <v>991</v>
      </c>
      <c r="E326" s="5" t="s">
        <v>990</v>
      </c>
      <c r="F326" s="5">
        <v>19</v>
      </c>
      <c r="G326" s="5" t="s">
        <v>973</v>
      </c>
    </row>
    <row r="327" spans="1:7">
      <c r="A327" s="6">
        <v>45708</v>
      </c>
      <c r="B327" s="5">
        <v>2025</v>
      </c>
      <c r="C327" s="5">
        <v>2</v>
      </c>
      <c r="D327" s="5" t="s">
        <v>991</v>
      </c>
      <c r="E327" s="5" t="s">
        <v>990</v>
      </c>
      <c r="F327" s="5">
        <v>20</v>
      </c>
      <c r="G327" s="5" t="s">
        <v>974</v>
      </c>
    </row>
    <row r="328" spans="1:7">
      <c r="A328" s="6">
        <v>45709</v>
      </c>
      <c r="B328" s="5">
        <v>2025</v>
      </c>
      <c r="C328" s="5">
        <v>2</v>
      </c>
      <c r="D328" s="5" t="s">
        <v>991</v>
      </c>
      <c r="E328" s="5" t="s">
        <v>990</v>
      </c>
      <c r="F328" s="5">
        <v>21</v>
      </c>
      <c r="G328" s="5" t="s">
        <v>975</v>
      </c>
    </row>
    <row r="329" spans="1:7">
      <c r="A329" s="6">
        <v>45710</v>
      </c>
      <c r="B329" s="5">
        <v>2025</v>
      </c>
      <c r="C329" s="5">
        <v>2</v>
      </c>
      <c r="D329" s="5" t="s">
        <v>991</v>
      </c>
      <c r="E329" s="5" t="s">
        <v>990</v>
      </c>
      <c r="F329" s="5">
        <v>22</v>
      </c>
      <c r="G329" s="5" t="s">
        <v>976</v>
      </c>
    </row>
    <row r="330" spans="1:7">
      <c r="A330" s="6">
        <v>45711</v>
      </c>
      <c r="B330" s="5">
        <v>2025</v>
      </c>
      <c r="C330" s="5">
        <v>2</v>
      </c>
      <c r="D330" s="5" t="s">
        <v>991</v>
      </c>
      <c r="E330" s="5" t="s">
        <v>990</v>
      </c>
      <c r="F330" s="5">
        <v>23</v>
      </c>
      <c r="G330" s="5" t="s">
        <v>977</v>
      </c>
    </row>
    <row r="331" spans="1:7">
      <c r="A331" s="6">
        <v>45712</v>
      </c>
      <c r="B331" s="5">
        <v>2025</v>
      </c>
      <c r="C331" s="5">
        <v>2</v>
      </c>
      <c r="D331" s="5" t="s">
        <v>991</v>
      </c>
      <c r="E331" s="5" t="s">
        <v>990</v>
      </c>
      <c r="F331" s="5">
        <v>24</v>
      </c>
      <c r="G331" s="5" t="s">
        <v>978</v>
      </c>
    </row>
    <row r="332" spans="1:7">
      <c r="A332" s="6">
        <v>45713</v>
      </c>
      <c r="B332" s="5">
        <v>2025</v>
      </c>
      <c r="C332" s="5">
        <v>2</v>
      </c>
      <c r="D332" s="5" t="s">
        <v>991</v>
      </c>
      <c r="E332" s="5" t="s">
        <v>990</v>
      </c>
      <c r="F332" s="5">
        <v>25</v>
      </c>
      <c r="G332" s="5" t="s">
        <v>972</v>
      </c>
    </row>
    <row r="333" spans="1:7">
      <c r="A333" s="6">
        <v>45714</v>
      </c>
      <c r="B333" s="5">
        <v>2025</v>
      </c>
      <c r="C333" s="5">
        <v>2</v>
      </c>
      <c r="D333" s="5" t="s">
        <v>991</v>
      </c>
      <c r="E333" s="5" t="s">
        <v>990</v>
      </c>
      <c r="F333" s="5">
        <v>26</v>
      </c>
      <c r="G333" s="5" t="s">
        <v>973</v>
      </c>
    </row>
    <row r="334" spans="1:7">
      <c r="A334" s="6">
        <v>45715</v>
      </c>
      <c r="B334" s="5">
        <v>2025</v>
      </c>
      <c r="C334" s="5">
        <v>2</v>
      </c>
      <c r="D334" s="5" t="s">
        <v>991</v>
      </c>
      <c r="E334" s="5" t="s">
        <v>990</v>
      </c>
      <c r="F334" s="5">
        <v>27</v>
      </c>
      <c r="G334" s="5" t="s">
        <v>974</v>
      </c>
    </row>
    <row r="335" spans="1:7">
      <c r="A335" s="6">
        <v>45716</v>
      </c>
      <c r="B335" s="5">
        <v>2025</v>
      </c>
      <c r="C335" s="5">
        <v>2</v>
      </c>
      <c r="D335" s="5" t="s">
        <v>991</v>
      </c>
      <c r="E335" s="5" t="s">
        <v>990</v>
      </c>
      <c r="F335" s="5">
        <v>28</v>
      </c>
      <c r="G335" s="5" t="s">
        <v>975</v>
      </c>
    </row>
    <row r="336" spans="1:7">
      <c r="A336" s="6">
        <v>45717</v>
      </c>
      <c r="B336" s="5">
        <v>2025</v>
      </c>
      <c r="C336" s="5">
        <v>3</v>
      </c>
      <c r="D336" s="5" t="s">
        <v>992</v>
      </c>
      <c r="E336" s="5" t="s">
        <v>990</v>
      </c>
      <c r="F336" s="5">
        <v>1</v>
      </c>
      <c r="G336" s="5" t="s">
        <v>976</v>
      </c>
    </row>
    <row r="337" spans="1:7">
      <c r="A337" s="6">
        <v>45718</v>
      </c>
      <c r="B337" s="5">
        <v>2025</v>
      </c>
      <c r="C337" s="5">
        <v>3</v>
      </c>
      <c r="D337" s="5" t="s">
        <v>992</v>
      </c>
      <c r="E337" s="5" t="s">
        <v>990</v>
      </c>
      <c r="F337" s="5">
        <v>2</v>
      </c>
      <c r="G337" s="5" t="s">
        <v>977</v>
      </c>
    </row>
    <row r="338" spans="1:7">
      <c r="A338" s="6">
        <v>45719</v>
      </c>
      <c r="B338" s="5">
        <v>2025</v>
      </c>
      <c r="C338" s="5">
        <v>3</v>
      </c>
      <c r="D338" s="5" t="s">
        <v>992</v>
      </c>
      <c r="E338" s="5" t="s">
        <v>990</v>
      </c>
      <c r="F338" s="5">
        <v>3</v>
      </c>
      <c r="G338" s="5" t="s">
        <v>978</v>
      </c>
    </row>
    <row r="339" spans="1:7">
      <c r="A339" s="6">
        <v>45720</v>
      </c>
      <c r="B339" s="5">
        <v>2025</v>
      </c>
      <c r="C339" s="5">
        <v>3</v>
      </c>
      <c r="D339" s="5" t="s">
        <v>992</v>
      </c>
      <c r="E339" s="5" t="s">
        <v>990</v>
      </c>
      <c r="F339" s="5">
        <v>4</v>
      </c>
      <c r="G339" s="5" t="s">
        <v>972</v>
      </c>
    </row>
    <row r="340" spans="1:7">
      <c r="A340" s="6">
        <v>45721</v>
      </c>
      <c r="B340" s="5">
        <v>2025</v>
      </c>
      <c r="C340" s="5">
        <v>3</v>
      </c>
      <c r="D340" s="5" t="s">
        <v>992</v>
      </c>
      <c r="E340" s="5" t="s">
        <v>990</v>
      </c>
      <c r="F340" s="5">
        <v>5</v>
      </c>
      <c r="G340" s="5" t="s">
        <v>973</v>
      </c>
    </row>
    <row r="341" spans="1:7">
      <c r="A341" s="6">
        <v>45722</v>
      </c>
      <c r="B341" s="5">
        <v>2025</v>
      </c>
      <c r="C341" s="5">
        <v>3</v>
      </c>
      <c r="D341" s="5" t="s">
        <v>992</v>
      </c>
      <c r="E341" s="5" t="s">
        <v>990</v>
      </c>
      <c r="F341" s="5">
        <v>6</v>
      </c>
      <c r="G341" s="5" t="s">
        <v>974</v>
      </c>
    </row>
    <row r="342" spans="1:7">
      <c r="A342" s="6">
        <v>45723</v>
      </c>
      <c r="B342" s="5">
        <v>2025</v>
      </c>
      <c r="C342" s="5">
        <v>3</v>
      </c>
      <c r="D342" s="5" t="s">
        <v>992</v>
      </c>
      <c r="E342" s="5" t="s">
        <v>990</v>
      </c>
      <c r="F342" s="5">
        <v>7</v>
      </c>
      <c r="G342" s="5" t="s">
        <v>975</v>
      </c>
    </row>
    <row r="343" spans="1:7">
      <c r="A343" s="6">
        <v>45724</v>
      </c>
      <c r="B343" s="5">
        <v>2025</v>
      </c>
      <c r="C343" s="5">
        <v>3</v>
      </c>
      <c r="D343" s="5" t="s">
        <v>992</v>
      </c>
      <c r="E343" s="5" t="s">
        <v>990</v>
      </c>
      <c r="F343" s="5">
        <v>8</v>
      </c>
      <c r="G343" s="5" t="s">
        <v>976</v>
      </c>
    </row>
    <row r="344" spans="1:7">
      <c r="A344" s="6">
        <v>45725</v>
      </c>
      <c r="B344" s="5">
        <v>2025</v>
      </c>
      <c r="C344" s="5">
        <v>3</v>
      </c>
      <c r="D344" s="5" t="s">
        <v>992</v>
      </c>
      <c r="E344" s="5" t="s">
        <v>990</v>
      </c>
      <c r="F344" s="5">
        <v>9</v>
      </c>
      <c r="G344" s="5" t="s">
        <v>977</v>
      </c>
    </row>
    <row r="345" spans="1:7">
      <c r="A345" s="6">
        <v>45726</v>
      </c>
      <c r="B345" s="5">
        <v>2025</v>
      </c>
      <c r="C345" s="5">
        <v>3</v>
      </c>
      <c r="D345" s="5" t="s">
        <v>992</v>
      </c>
      <c r="E345" s="5" t="s">
        <v>990</v>
      </c>
      <c r="F345" s="5">
        <v>10</v>
      </c>
      <c r="G345" s="5" t="s">
        <v>978</v>
      </c>
    </row>
    <row r="346" spans="1:7">
      <c r="A346" s="6">
        <v>45727</v>
      </c>
      <c r="B346" s="5">
        <v>2025</v>
      </c>
      <c r="C346" s="5">
        <v>3</v>
      </c>
      <c r="D346" s="5" t="s">
        <v>992</v>
      </c>
      <c r="E346" s="5" t="s">
        <v>990</v>
      </c>
      <c r="F346" s="5">
        <v>11</v>
      </c>
      <c r="G346" s="5" t="s">
        <v>972</v>
      </c>
    </row>
    <row r="347" spans="1:7">
      <c r="A347" s="6">
        <v>45728</v>
      </c>
      <c r="B347" s="5">
        <v>2025</v>
      </c>
      <c r="C347" s="5">
        <v>3</v>
      </c>
      <c r="D347" s="5" t="s">
        <v>992</v>
      </c>
      <c r="E347" s="5" t="s">
        <v>990</v>
      </c>
      <c r="F347" s="5">
        <v>12</v>
      </c>
      <c r="G347" s="5" t="s">
        <v>973</v>
      </c>
    </row>
    <row r="348" spans="1:7">
      <c r="A348" s="6">
        <v>45729</v>
      </c>
      <c r="B348" s="5">
        <v>2025</v>
      </c>
      <c r="C348" s="5">
        <v>3</v>
      </c>
      <c r="D348" s="5" t="s">
        <v>992</v>
      </c>
      <c r="E348" s="5" t="s">
        <v>990</v>
      </c>
      <c r="F348" s="5">
        <v>13</v>
      </c>
      <c r="G348" s="5" t="s">
        <v>974</v>
      </c>
    </row>
    <row r="349" spans="1:7">
      <c r="A349" s="6">
        <v>45730</v>
      </c>
      <c r="B349" s="5">
        <v>2025</v>
      </c>
      <c r="C349" s="5">
        <v>3</v>
      </c>
      <c r="D349" s="5" t="s">
        <v>992</v>
      </c>
      <c r="E349" s="5" t="s">
        <v>990</v>
      </c>
      <c r="F349" s="5">
        <v>14</v>
      </c>
      <c r="G349" s="5" t="s">
        <v>975</v>
      </c>
    </row>
    <row r="350" spans="1:7">
      <c r="A350" s="6">
        <v>45731</v>
      </c>
      <c r="B350" s="5">
        <v>2025</v>
      </c>
      <c r="C350" s="5">
        <v>3</v>
      </c>
      <c r="D350" s="5" t="s">
        <v>992</v>
      </c>
      <c r="E350" s="5" t="s">
        <v>990</v>
      </c>
      <c r="F350" s="5">
        <v>15</v>
      </c>
      <c r="G350" s="5" t="s">
        <v>976</v>
      </c>
    </row>
    <row r="351" spans="1:7">
      <c r="A351" s="6">
        <v>45732</v>
      </c>
      <c r="B351" s="5">
        <v>2025</v>
      </c>
      <c r="C351" s="5">
        <v>3</v>
      </c>
      <c r="D351" s="5" t="s">
        <v>992</v>
      </c>
      <c r="E351" s="5" t="s">
        <v>990</v>
      </c>
      <c r="F351" s="5">
        <v>16</v>
      </c>
      <c r="G351" s="5" t="s">
        <v>977</v>
      </c>
    </row>
    <row r="352" spans="1:7">
      <c r="A352" s="6">
        <v>45733</v>
      </c>
      <c r="B352" s="5">
        <v>2025</v>
      </c>
      <c r="C352" s="5">
        <v>3</v>
      </c>
      <c r="D352" s="5" t="s">
        <v>992</v>
      </c>
      <c r="E352" s="5" t="s">
        <v>990</v>
      </c>
      <c r="F352" s="5">
        <v>17</v>
      </c>
      <c r="G352" s="5" t="s">
        <v>978</v>
      </c>
    </row>
    <row r="353" spans="1:7">
      <c r="A353" s="6">
        <v>45734</v>
      </c>
      <c r="B353" s="5">
        <v>2025</v>
      </c>
      <c r="C353" s="5">
        <v>3</v>
      </c>
      <c r="D353" s="5" t="s">
        <v>992</v>
      </c>
      <c r="E353" s="5" t="s">
        <v>990</v>
      </c>
      <c r="F353" s="5">
        <v>18</v>
      </c>
      <c r="G353" s="5" t="s">
        <v>972</v>
      </c>
    </row>
    <row r="354" spans="1:7">
      <c r="A354" s="6">
        <v>45735</v>
      </c>
      <c r="B354" s="5">
        <v>2025</v>
      </c>
      <c r="C354" s="5">
        <v>3</v>
      </c>
      <c r="D354" s="5" t="s">
        <v>992</v>
      </c>
      <c r="E354" s="5" t="s">
        <v>990</v>
      </c>
      <c r="F354" s="5">
        <v>19</v>
      </c>
      <c r="G354" s="5" t="s">
        <v>973</v>
      </c>
    </row>
    <row r="355" spans="1:7">
      <c r="A355" s="6">
        <v>45736</v>
      </c>
      <c r="B355" s="5">
        <v>2025</v>
      </c>
      <c r="C355" s="5">
        <v>3</v>
      </c>
      <c r="D355" s="5" t="s">
        <v>992</v>
      </c>
      <c r="E355" s="5" t="s">
        <v>990</v>
      </c>
      <c r="F355" s="5">
        <v>20</v>
      </c>
      <c r="G355" s="5" t="s">
        <v>974</v>
      </c>
    </row>
    <row r="356" spans="1:7">
      <c r="A356" s="6">
        <v>45737</v>
      </c>
      <c r="B356" s="5">
        <v>2025</v>
      </c>
      <c r="C356" s="5">
        <v>3</v>
      </c>
      <c r="D356" s="5" t="s">
        <v>992</v>
      </c>
      <c r="E356" s="5" t="s">
        <v>990</v>
      </c>
      <c r="F356" s="5">
        <v>21</v>
      </c>
      <c r="G356" s="5" t="s">
        <v>975</v>
      </c>
    </row>
    <row r="357" spans="1:7">
      <c r="A357" s="6">
        <v>45738</v>
      </c>
      <c r="B357" s="5">
        <v>2025</v>
      </c>
      <c r="C357" s="5">
        <v>3</v>
      </c>
      <c r="D357" s="5" t="s">
        <v>992</v>
      </c>
      <c r="E357" s="5" t="s">
        <v>990</v>
      </c>
      <c r="F357" s="5">
        <v>22</v>
      </c>
      <c r="G357" s="5" t="s">
        <v>976</v>
      </c>
    </row>
    <row r="358" spans="1:7">
      <c r="A358" s="6">
        <v>45739</v>
      </c>
      <c r="B358" s="5">
        <v>2025</v>
      </c>
      <c r="C358" s="5">
        <v>3</v>
      </c>
      <c r="D358" s="5" t="s">
        <v>992</v>
      </c>
      <c r="E358" s="5" t="s">
        <v>990</v>
      </c>
      <c r="F358" s="5">
        <v>23</v>
      </c>
      <c r="G358" s="5" t="s">
        <v>977</v>
      </c>
    </row>
    <row r="359" spans="1:7">
      <c r="A359" s="6">
        <v>45740</v>
      </c>
      <c r="B359" s="5">
        <v>2025</v>
      </c>
      <c r="C359" s="5">
        <v>3</v>
      </c>
      <c r="D359" s="5" t="s">
        <v>992</v>
      </c>
      <c r="E359" s="5" t="s">
        <v>990</v>
      </c>
      <c r="F359" s="5">
        <v>24</v>
      </c>
      <c r="G359" s="5" t="s">
        <v>978</v>
      </c>
    </row>
    <row r="360" spans="1:7">
      <c r="A360" s="6">
        <v>45741</v>
      </c>
      <c r="B360" s="5">
        <v>2025</v>
      </c>
      <c r="C360" s="5">
        <v>3</v>
      </c>
      <c r="D360" s="5" t="s">
        <v>992</v>
      </c>
      <c r="E360" s="5" t="s">
        <v>990</v>
      </c>
      <c r="F360" s="5">
        <v>25</v>
      </c>
      <c r="G360" s="5" t="s">
        <v>972</v>
      </c>
    </row>
    <row r="361" spans="1:7">
      <c r="A361" s="6">
        <v>45742</v>
      </c>
      <c r="B361" s="5">
        <v>2025</v>
      </c>
      <c r="C361" s="5">
        <v>3</v>
      </c>
      <c r="D361" s="5" t="s">
        <v>992</v>
      </c>
      <c r="E361" s="5" t="s">
        <v>990</v>
      </c>
      <c r="F361" s="5">
        <v>26</v>
      </c>
      <c r="G361" s="5" t="s">
        <v>973</v>
      </c>
    </row>
    <row r="362" spans="1:7">
      <c r="A362" s="6">
        <v>45743</v>
      </c>
      <c r="B362" s="5">
        <v>2025</v>
      </c>
      <c r="C362" s="5">
        <v>3</v>
      </c>
      <c r="D362" s="5" t="s">
        <v>992</v>
      </c>
      <c r="E362" s="5" t="s">
        <v>990</v>
      </c>
      <c r="F362" s="5">
        <v>27</v>
      </c>
      <c r="G362" s="5" t="s">
        <v>974</v>
      </c>
    </row>
    <row r="363" spans="1:7">
      <c r="A363" s="6">
        <v>45744</v>
      </c>
      <c r="B363" s="5">
        <v>2025</v>
      </c>
      <c r="C363" s="5">
        <v>3</v>
      </c>
      <c r="D363" s="5" t="s">
        <v>992</v>
      </c>
      <c r="E363" s="5" t="s">
        <v>990</v>
      </c>
      <c r="F363" s="5">
        <v>28</v>
      </c>
      <c r="G363" s="5" t="s">
        <v>975</v>
      </c>
    </row>
    <row r="364" spans="1:7">
      <c r="A364" s="6">
        <v>45745</v>
      </c>
      <c r="B364" s="5">
        <v>2025</v>
      </c>
      <c r="C364" s="5">
        <v>3</v>
      </c>
      <c r="D364" s="5" t="s">
        <v>992</v>
      </c>
      <c r="E364" s="5" t="s">
        <v>990</v>
      </c>
      <c r="F364" s="5">
        <v>29</v>
      </c>
      <c r="G364" s="5" t="s">
        <v>976</v>
      </c>
    </row>
    <row r="365" spans="1:7">
      <c r="A365" s="6">
        <v>45746</v>
      </c>
      <c r="B365" s="5">
        <v>2025</v>
      </c>
      <c r="C365" s="5">
        <v>3</v>
      </c>
      <c r="D365" s="5" t="s">
        <v>992</v>
      </c>
      <c r="E365" s="5" t="s">
        <v>990</v>
      </c>
      <c r="F365" s="5">
        <v>30</v>
      </c>
      <c r="G365" s="5" t="s">
        <v>977</v>
      </c>
    </row>
    <row r="366" spans="1:7">
      <c r="A366" s="6">
        <v>45747</v>
      </c>
      <c r="B366" s="5">
        <v>2025</v>
      </c>
      <c r="C366" s="5">
        <v>3</v>
      </c>
      <c r="D366" s="5" t="s">
        <v>992</v>
      </c>
      <c r="E366" s="5" t="s">
        <v>990</v>
      </c>
      <c r="F366" s="5">
        <v>31</v>
      </c>
      <c r="G366" s="5" t="s">
        <v>978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02AA5-E158-4982-B3CA-F94674B7ACD8}">
  <dimension ref="A1:B16"/>
  <sheetViews>
    <sheetView showGridLines="0" zoomScale="107" workbookViewId="0">
      <selection activeCell="C6" sqref="C6"/>
    </sheetView>
  </sheetViews>
  <sheetFormatPr baseColWidth="10" defaultRowHeight="15"/>
  <cols>
    <col min="1" max="1" width="20" style="1" customWidth="1"/>
    <col min="2" max="2" width="20.08203125" style="14" customWidth="1"/>
    <col min="3" max="16384" width="10.6640625" style="1"/>
  </cols>
  <sheetData>
    <row r="1" spans="1:2" ht="15.6" thickBot="1">
      <c r="A1" s="7" t="s">
        <v>1056</v>
      </c>
      <c r="B1" s="8"/>
    </row>
    <row r="2" spans="1:2" ht="15.6" thickBot="1">
      <c r="A2" s="9" t="s">
        <v>1054</v>
      </c>
      <c r="B2" s="10" t="s">
        <v>1055</v>
      </c>
    </row>
    <row r="3" spans="1:2">
      <c r="A3" s="1" t="s">
        <v>1053</v>
      </c>
      <c r="B3" s="11">
        <v>392</v>
      </c>
    </row>
    <row r="4" spans="1:2">
      <c r="A4" s="1" t="s">
        <v>1040</v>
      </c>
      <c r="B4" s="11">
        <v>3511407.0714285714</v>
      </c>
    </row>
    <row r="5" spans="1:2">
      <c r="A5" s="1" t="s">
        <v>1041</v>
      </c>
      <c r="B5" s="11">
        <v>162814.91776428846</v>
      </c>
    </row>
    <row r="6" spans="1:2">
      <c r="A6" s="1" t="s">
        <v>1042</v>
      </c>
      <c r="B6" s="11">
        <v>2628550.5</v>
      </c>
    </row>
    <row r="7" spans="1:2">
      <c r="A7" s="1" t="s">
        <v>1043</v>
      </c>
      <c r="B7" s="11" t="e">
        <v>#N/A</v>
      </c>
    </row>
    <row r="8" spans="1:2">
      <c r="A8" s="1" t="s">
        <v>1044</v>
      </c>
      <c r="B8" s="11">
        <v>3223570.9080248368</v>
      </c>
    </row>
    <row r="9" spans="1:2">
      <c r="A9" s="1" t="s">
        <v>1045</v>
      </c>
      <c r="B9" s="11">
        <v>10391409399064.072</v>
      </c>
    </row>
    <row r="10" spans="1:2">
      <c r="A10" s="1" t="s">
        <v>1046</v>
      </c>
      <c r="B10" s="11">
        <v>0.30388685321224473</v>
      </c>
    </row>
    <row r="11" spans="1:2">
      <c r="A11" s="1" t="s">
        <v>1047</v>
      </c>
      <c r="B11" s="11">
        <v>1.0454180124109074</v>
      </c>
    </row>
    <row r="12" spans="1:2">
      <c r="A12" s="1" t="s">
        <v>1048</v>
      </c>
      <c r="B12" s="11">
        <v>13544648</v>
      </c>
    </row>
    <row r="13" spans="1:2">
      <c r="A13" s="1" t="s">
        <v>1049</v>
      </c>
      <c r="B13" s="11">
        <v>8788</v>
      </c>
    </row>
    <row r="14" spans="1:2">
      <c r="A14" s="1" t="s">
        <v>1050</v>
      </c>
      <c r="B14" s="11">
        <v>13553436</v>
      </c>
    </row>
    <row r="15" spans="1:2">
      <c r="A15" s="1" t="s">
        <v>1051</v>
      </c>
      <c r="B15" s="11">
        <v>1376471572</v>
      </c>
    </row>
    <row r="16" spans="1:2" ht="15.6" thickBot="1">
      <c r="A16" s="12" t="s">
        <v>1052</v>
      </c>
      <c r="B16" s="13">
        <v>392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9D3B7-2140-4077-943F-A3B82C743466}">
  <dimension ref="A1:B11"/>
  <sheetViews>
    <sheetView showGridLines="0" workbookViewId="0">
      <selection activeCell="D20" sqref="D20"/>
    </sheetView>
  </sheetViews>
  <sheetFormatPr baseColWidth="10" defaultRowHeight="15"/>
  <cols>
    <col min="1" max="2" width="25" style="1" customWidth="1"/>
    <col min="3" max="16384" width="10.6640625" style="1"/>
  </cols>
  <sheetData>
    <row r="1" spans="1:2" ht="25.8" customHeight="1">
      <c r="A1" s="70" t="s">
        <v>1057</v>
      </c>
      <c r="B1" s="70"/>
    </row>
    <row r="2" spans="1:2" ht="19.2" customHeight="1">
      <c r="A2" s="15" t="s">
        <v>1058</v>
      </c>
      <c r="B2" s="16">
        <v>1000</v>
      </c>
    </row>
    <row r="3" spans="1:2">
      <c r="A3" s="17" t="s">
        <v>1059</v>
      </c>
      <c r="B3" s="18">
        <v>1000</v>
      </c>
    </row>
    <row r="4" spans="1:2">
      <c r="A4" s="17" t="s">
        <v>1060</v>
      </c>
      <c r="B4" s="18">
        <v>600</v>
      </c>
    </row>
    <row r="5" spans="1:2">
      <c r="A5" s="17" t="s">
        <v>1061</v>
      </c>
      <c r="B5" s="18">
        <v>100000</v>
      </c>
    </row>
    <row r="6" spans="1:2">
      <c r="A6" s="17" t="s">
        <v>1062</v>
      </c>
      <c r="B6" s="19">
        <v>0.08</v>
      </c>
    </row>
    <row r="7" spans="1:2">
      <c r="A7" s="20"/>
      <c r="B7" s="21"/>
    </row>
    <row r="8" spans="1:2" ht="15.6" customHeight="1">
      <c r="A8" s="15" t="s">
        <v>1055</v>
      </c>
      <c r="B8" s="22">
        <f>B2*B3</f>
        <v>1000000</v>
      </c>
    </row>
    <row r="9" spans="1:2">
      <c r="A9" s="17" t="s">
        <v>1063</v>
      </c>
      <c r="B9" s="18">
        <f>B2*B4</f>
        <v>600000</v>
      </c>
    </row>
    <row r="10" spans="1:2">
      <c r="A10" s="17" t="s">
        <v>1064</v>
      </c>
      <c r="B10" s="18">
        <f>B8*B6</f>
        <v>80000</v>
      </c>
    </row>
    <row r="11" spans="1:2">
      <c r="A11" s="23" t="s">
        <v>1065</v>
      </c>
      <c r="B11" s="24">
        <f>B8-B9-B5-B10</f>
        <v>220000</v>
      </c>
    </row>
  </sheetData>
  <scenarios current="2" show="0" sqref="B11">
    <scenario name="Pesimista" count="3" user="Viviana" comment="Creado por Viviana el 14/9/2026_x000a_Modificado por Viviana el 14/9/2026">
      <inputCells r="B2" val="700" numFmtId="43"/>
      <inputCells r="B5" val="150000" numFmtId="44"/>
      <inputCells r="B6" val="0,12" numFmtId="9"/>
    </scenario>
    <scenario name="Base" count="3" user="Viviana" comment="Creado por Viviana el 14/9/2026_x000a_Modificado por Viviana el 14/9/2026">
      <inputCells r="B2" val="1000" numFmtId="43"/>
      <inputCells r="B5" val="100000" numFmtId="44"/>
      <inputCells r="B6" val="0,08" numFmtId="9"/>
    </scenario>
    <scenario name="Optimista" count="3" user="Viviana" comment="Creado por Viviana el 14/9/2026_x000a_Modificado por Viviana el 14/9/2026">
      <inputCells r="B2" val="1300" numFmtId="43"/>
      <inputCells r="B5" val="70000" numFmtId="44"/>
      <inputCells r="B6" val="0,05" numFmtId="9"/>
    </scenario>
  </scenarios>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F3C36-6B3B-4964-AFEC-24AB1A189CD8}">
  <sheetPr>
    <outlinePr summaryBelow="0"/>
  </sheetPr>
  <dimension ref="B1:H35"/>
  <sheetViews>
    <sheetView showGridLines="0" workbookViewId="0">
      <selection activeCell="K6" sqref="K6"/>
    </sheetView>
  </sheetViews>
  <sheetFormatPr baseColWidth="10" defaultRowHeight="15" outlineLevelRow="1" outlineLevelCol="1"/>
  <cols>
    <col min="1" max="2" width="10.6640625" style="1"/>
    <col min="3" max="3" width="6" style="1" bestFit="1" customWidth="1"/>
    <col min="4" max="7" width="12" style="1" bestFit="1" customWidth="1" outlineLevel="1"/>
    <col min="8" max="16384" width="10.6640625" style="1"/>
  </cols>
  <sheetData>
    <row r="1" spans="2:7" ht="15.6" thickBot="1"/>
    <row r="2" spans="2:7" ht="17.399999999999999">
      <c r="B2" s="25" t="s">
        <v>1066</v>
      </c>
      <c r="C2" s="25"/>
      <c r="D2" s="26"/>
      <c r="E2" s="26"/>
      <c r="F2" s="27"/>
      <c r="G2" s="26"/>
    </row>
    <row r="3" spans="2:7" ht="17.399999999999999" collapsed="1">
      <c r="B3" s="28"/>
      <c r="C3" s="28"/>
      <c r="D3" s="43" t="s">
        <v>1067</v>
      </c>
      <c r="E3" s="43" t="s">
        <v>1068</v>
      </c>
      <c r="F3" s="43" t="s">
        <v>1070</v>
      </c>
      <c r="G3" s="43" t="s">
        <v>1069</v>
      </c>
    </row>
    <row r="4" spans="2:7" ht="40.799999999999997" hidden="1" outlineLevel="1">
      <c r="B4" s="29"/>
      <c r="C4" s="29"/>
      <c r="D4" s="44"/>
      <c r="E4" s="45" t="s">
        <v>1081</v>
      </c>
      <c r="F4" s="45" t="s">
        <v>1081</v>
      </c>
      <c r="G4" s="45" t="s">
        <v>1081</v>
      </c>
    </row>
    <row r="5" spans="2:7">
      <c r="B5" s="30" t="s">
        <v>1071</v>
      </c>
      <c r="C5" s="30"/>
      <c r="D5" s="46"/>
      <c r="E5" s="46"/>
      <c r="F5" s="46"/>
      <c r="G5" s="46"/>
    </row>
    <row r="6" spans="2:7" outlineLevel="1">
      <c r="B6" s="29"/>
      <c r="C6" s="29" t="s">
        <v>1078</v>
      </c>
      <c r="D6" s="32">
        <v>1000</v>
      </c>
      <c r="E6" s="33">
        <v>700</v>
      </c>
      <c r="F6" s="33">
        <v>1000</v>
      </c>
      <c r="G6" s="33">
        <v>1300</v>
      </c>
    </row>
    <row r="7" spans="2:7" outlineLevel="1">
      <c r="B7" s="29"/>
      <c r="C7" s="29" t="s">
        <v>1079</v>
      </c>
      <c r="D7" s="34">
        <v>100000</v>
      </c>
      <c r="E7" s="35">
        <v>150000</v>
      </c>
      <c r="F7" s="35">
        <v>100000</v>
      </c>
      <c r="G7" s="35">
        <v>70000</v>
      </c>
    </row>
    <row r="8" spans="2:7" outlineLevel="1">
      <c r="B8" s="29"/>
      <c r="C8" s="29" t="s">
        <v>1080</v>
      </c>
      <c r="D8" s="36">
        <v>0.08</v>
      </c>
      <c r="E8" s="37">
        <v>0.12</v>
      </c>
      <c r="F8" s="37">
        <v>0.08</v>
      </c>
      <c r="G8" s="37">
        <v>0.05</v>
      </c>
    </row>
    <row r="9" spans="2:7">
      <c r="B9" s="30" t="s">
        <v>1072</v>
      </c>
      <c r="C9" s="30"/>
      <c r="D9" s="31"/>
      <c r="E9" s="31"/>
      <c r="F9" s="31"/>
      <c r="G9" s="31"/>
    </row>
    <row r="10" spans="2:7" ht="15.6" outlineLevel="1" thickBot="1">
      <c r="B10" s="38"/>
      <c r="C10" s="38" t="s">
        <v>1076</v>
      </c>
      <c r="D10" s="39">
        <v>220000</v>
      </c>
      <c r="E10" s="39">
        <v>46000</v>
      </c>
      <c r="F10" s="39">
        <v>220000</v>
      </c>
      <c r="G10" s="39">
        <v>385000</v>
      </c>
    </row>
    <row r="11" spans="2:7">
      <c r="B11" s="1" t="s">
        <v>1073</v>
      </c>
    </row>
    <row r="12" spans="2:7">
      <c r="B12" s="1" t="s">
        <v>1074</v>
      </c>
    </row>
    <row r="13" spans="2:7">
      <c r="B13" s="1" t="s">
        <v>1075</v>
      </c>
    </row>
    <row r="15" spans="2:7" ht="15.6" customHeight="1">
      <c r="B15" s="72" t="s">
        <v>1077</v>
      </c>
      <c r="C15" s="72"/>
      <c r="D15" s="72"/>
      <c r="E15" s="72"/>
      <c r="F15" s="72"/>
      <c r="G15" s="72"/>
    </row>
    <row r="16" spans="2:7">
      <c r="B16" s="72"/>
      <c r="C16" s="72"/>
      <c r="D16" s="72"/>
      <c r="E16" s="72"/>
      <c r="F16" s="72"/>
      <c r="G16" s="72"/>
    </row>
    <row r="17" spans="2:8">
      <c r="B17" s="72"/>
      <c r="C17" s="72"/>
      <c r="D17" s="72"/>
      <c r="E17" s="72"/>
      <c r="F17" s="72"/>
      <c r="G17" s="72"/>
    </row>
    <row r="19" spans="2:8" ht="17.399999999999999">
      <c r="B19" s="40" t="s">
        <v>1082</v>
      </c>
      <c r="C19" s="41"/>
      <c r="D19" s="41"/>
      <c r="E19" s="41"/>
      <c r="F19" s="41"/>
      <c r="G19" s="41"/>
      <c r="H19" s="41"/>
    </row>
    <row r="20" spans="2:8">
      <c r="B20" s="42"/>
    </row>
    <row r="21" spans="2:8" ht="15.6" customHeight="1">
      <c r="B21" s="72" t="s">
        <v>1083</v>
      </c>
      <c r="C21" s="72"/>
      <c r="D21" s="72"/>
      <c r="E21" s="72"/>
      <c r="F21" s="72"/>
      <c r="G21" s="72"/>
      <c r="H21" s="72"/>
    </row>
    <row r="22" spans="2:8">
      <c r="B22" s="72"/>
      <c r="C22" s="72"/>
      <c r="D22" s="72"/>
      <c r="E22" s="72"/>
      <c r="F22" s="72"/>
      <c r="G22" s="72"/>
      <c r="H22" s="72"/>
    </row>
    <row r="23" spans="2:8">
      <c r="B23" s="72"/>
      <c r="C23" s="72"/>
      <c r="D23" s="72"/>
      <c r="E23" s="72"/>
      <c r="F23" s="72"/>
      <c r="G23" s="72"/>
      <c r="H23" s="72"/>
    </row>
    <row r="24" spans="2:8">
      <c r="B24" s="72" t="s">
        <v>1084</v>
      </c>
      <c r="C24" s="72"/>
      <c r="D24" s="72"/>
      <c r="E24" s="72"/>
      <c r="F24" s="72"/>
      <c r="G24" s="72"/>
      <c r="H24" s="72"/>
    </row>
    <row r="25" spans="2:8">
      <c r="B25" s="72"/>
      <c r="C25" s="72"/>
      <c r="D25" s="72"/>
      <c r="E25" s="72"/>
      <c r="F25" s="72"/>
      <c r="G25" s="72"/>
      <c r="H25" s="72"/>
    </row>
    <row r="26" spans="2:8">
      <c r="B26" s="72"/>
      <c r="C26" s="72"/>
      <c r="D26" s="72"/>
      <c r="E26" s="72"/>
      <c r="F26" s="72"/>
      <c r="G26" s="72"/>
      <c r="H26" s="72"/>
    </row>
    <row r="27" spans="2:8">
      <c r="B27" s="72" t="s">
        <v>1085</v>
      </c>
      <c r="C27" s="72"/>
      <c r="D27" s="72"/>
      <c r="E27" s="72"/>
      <c r="F27" s="72"/>
      <c r="G27" s="72"/>
      <c r="H27" s="72"/>
    </row>
    <row r="28" spans="2:8">
      <c r="B28" s="72"/>
      <c r="C28" s="72"/>
      <c r="D28" s="72"/>
      <c r="E28" s="72"/>
      <c r="F28" s="72"/>
      <c r="G28" s="72"/>
      <c r="H28" s="72"/>
    </row>
    <row r="29" spans="2:8">
      <c r="B29" s="72"/>
      <c r="C29" s="72"/>
      <c r="D29" s="72"/>
      <c r="E29" s="72"/>
      <c r="F29" s="72"/>
      <c r="G29" s="72"/>
      <c r="H29" s="72"/>
    </row>
    <row r="31" spans="2:8">
      <c r="B31" s="71" t="s">
        <v>1086</v>
      </c>
      <c r="C31" s="71"/>
      <c r="D31" s="71"/>
      <c r="E31" s="71"/>
      <c r="F31" s="71"/>
      <c r="G31" s="71"/>
      <c r="H31" s="71"/>
    </row>
    <row r="32" spans="2:8">
      <c r="B32" s="71"/>
      <c r="C32" s="71"/>
      <c r="D32" s="71"/>
      <c r="E32" s="71"/>
      <c r="F32" s="71"/>
      <c r="G32" s="71"/>
      <c r="H32" s="71"/>
    </row>
    <row r="33" spans="2:8">
      <c r="B33" s="71"/>
      <c r="C33" s="71"/>
      <c r="D33" s="71"/>
      <c r="E33" s="71"/>
      <c r="F33" s="71"/>
      <c r="G33" s="71"/>
      <c r="H33" s="71"/>
    </row>
    <row r="34" spans="2:8">
      <c r="B34" s="71"/>
      <c r="C34" s="71"/>
      <c r="D34" s="71"/>
      <c r="E34" s="71"/>
      <c r="F34" s="71"/>
      <c r="G34" s="71"/>
      <c r="H34" s="71"/>
    </row>
    <row r="35" spans="2:8">
      <c r="B35" s="71"/>
      <c r="C35" s="71"/>
      <c r="D35" s="71"/>
      <c r="E35" s="71"/>
      <c r="F35" s="71"/>
      <c r="G35" s="71"/>
      <c r="H35" s="71"/>
    </row>
  </sheetData>
  <mergeCells count="5">
    <mergeCell ref="B31:H35"/>
    <mergeCell ref="B15:G17"/>
    <mergeCell ref="B21:H23"/>
    <mergeCell ref="B24:H26"/>
    <mergeCell ref="B27:H2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82AA0-5EF7-4C85-AD68-817F570319B9}">
  <dimension ref="B5:IJ492"/>
  <sheetViews>
    <sheetView showGridLines="0" zoomScale="81" zoomScaleNormal="79" workbookViewId="0">
      <selection activeCell="D23" sqref="D23"/>
    </sheetView>
  </sheetViews>
  <sheetFormatPr baseColWidth="10" defaultRowHeight="15"/>
  <cols>
    <col min="1" max="1" width="10.6640625" style="1"/>
    <col min="2" max="2" width="16.83203125" style="1" bestFit="1" customWidth="1"/>
    <col min="3" max="3" width="13.58203125" style="1" bestFit="1" customWidth="1"/>
    <col min="4" max="4" width="12.33203125" style="1" bestFit="1" customWidth="1"/>
    <col min="5" max="5" width="11.33203125" style="1" bestFit="1" customWidth="1"/>
    <col min="6" max="6" width="8.75" style="1" bestFit="1" customWidth="1"/>
    <col min="7" max="7" width="11.33203125" style="1" bestFit="1" customWidth="1"/>
    <col min="8" max="8" width="15.58203125" style="1" bestFit="1" customWidth="1"/>
    <col min="9" max="9" width="11.08203125" style="1" bestFit="1" customWidth="1"/>
    <col min="10" max="10" width="11.33203125" style="1" bestFit="1" customWidth="1"/>
    <col min="11" max="11" width="9.75" style="1" bestFit="1" customWidth="1"/>
    <col min="12" max="12" width="11.25" style="1" bestFit="1" customWidth="1"/>
    <col min="13" max="13" width="9.75" style="1" bestFit="1" customWidth="1"/>
    <col min="14" max="14" width="11.25" style="1" bestFit="1" customWidth="1"/>
    <col min="15" max="15" width="11.08203125" style="1" bestFit="1" customWidth="1"/>
    <col min="16" max="16" width="11.25" style="1" bestFit="1" customWidth="1"/>
    <col min="17" max="17" width="10.9140625" style="1" bestFit="1" customWidth="1"/>
    <col min="18" max="18" width="11.1640625" style="1" bestFit="1" customWidth="1"/>
    <col min="19" max="19" width="10" style="1" bestFit="1" customWidth="1"/>
    <col min="20" max="20" width="11.25" style="1" bestFit="1" customWidth="1"/>
    <col min="21" max="21" width="11.1640625" style="1" bestFit="1" customWidth="1"/>
    <col min="22" max="22" width="11.33203125" style="1" bestFit="1" customWidth="1"/>
    <col min="23" max="23" width="9.9140625" style="1" bestFit="1" customWidth="1"/>
    <col min="24" max="24" width="12.08203125" style="1" bestFit="1" customWidth="1"/>
    <col min="25" max="25" width="11.25" style="1" bestFit="1" customWidth="1"/>
    <col min="26" max="26" width="11.1640625" style="1" bestFit="1" customWidth="1"/>
    <col min="27" max="27" width="10.9140625" style="1" bestFit="1" customWidth="1"/>
    <col min="28" max="28" width="11.25" style="1" bestFit="1" customWidth="1"/>
    <col min="29" max="29" width="11.1640625" style="1" bestFit="1" customWidth="1"/>
    <col min="30" max="31" width="11.25" style="1" bestFit="1" customWidth="1"/>
    <col min="32" max="32" width="11.08203125" style="1" bestFit="1" customWidth="1"/>
    <col min="33" max="33" width="11.83203125" style="1" bestFit="1" customWidth="1"/>
    <col min="34" max="35" width="10.9140625" style="1" bestFit="1" customWidth="1"/>
    <col min="36" max="36" width="11.9140625" style="1" bestFit="1" customWidth="1"/>
    <col min="37" max="37" width="11.25" style="1" bestFit="1" customWidth="1"/>
    <col min="38" max="38" width="11.1640625" style="1" bestFit="1" customWidth="1"/>
    <col min="39" max="39" width="11.08203125" style="1" bestFit="1" customWidth="1"/>
    <col min="40" max="40" width="11.1640625" style="1" bestFit="1" customWidth="1"/>
    <col min="41" max="41" width="10" style="1" bestFit="1" customWidth="1"/>
    <col min="42" max="42" width="11.08203125" style="1" bestFit="1" customWidth="1"/>
    <col min="43" max="44" width="11.25" style="1" bestFit="1" customWidth="1"/>
    <col min="45" max="45" width="10" style="1" bestFit="1" customWidth="1"/>
    <col min="46" max="46" width="11.25" style="1" bestFit="1" customWidth="1"/>
    <col min="47" max="47" width="9.9140625" style="1" bestFit="1" customWidth="1"/>
    <col min="48" max="48" width="11.9140625" style="1" bestFit="1" customWidth="1"/>
    <col min="49" max="49" width="11.25" style="1" bestFit="1" customWidth="1"/>
    <col min="50" max="50" width="11.08203125" style="1" bestFit="1" customWidth="1"/>
    <col min="51" max="51" width="11.1640625" style="1" bestFit="1" customWidth="1"/>
    <col min="52" max="52" width="11.6640625" style="1" bestFit="1" customWidth="1"/>
    <col min="53" max="53" width="10.9140625" style="1" bestFit="1" customWidth="1"/>
    <col min="54" max="54" width="11.33203125" style="1" bestFit="1" customWidth="1"/>
    <col min="55" max="55" width="11.1640625" style="1" bestFit="1" customWidth="1"/>
    <col min="56" max="56" width="11.25" style="1" bestFit="1" customWidth="1"/>
    <col min="57" max="57" width="11.9140625" style="1" bestFit="1" customWidth="1"/>
    <col min="58" max="58" width="9.9140625" style="1" bestFit="1" customWidth="1"/>
    <col min="59" max="59" width="11.1640625" style="1" bestFit="1" customWidth="1"/>
    <col min="60" max="60" width="11.9140625" style="1" bestFit="1" customWidth="1"/>
    <col min="61" max="61" width="11.08203125" style="1" bestFit="1" customWidth="1"/>
    <col min="62" max="62" width="11.25" style="1" bestFit="1" customWidth="1"/>
    <col min="63" max="63" width="10" style="1" bestFit="1" customWidth="1"/>
    <col min="64" max="64" width="11.1640625" style="1" bestFit="1" customWidth="1"/>
    <col min="65" max="65" width="12.08203125" style="1" bestFit="1" customWidth="1"/>
    <col min="66" max="67" width="12" style="1" bestFit="1" customWidth="1"/>
    <col min="68" max="68" width="12.08203125" style="1" bestFit="1" customWidth="1"/>
    <col min="69" max="69" width="9.9140625" style="1" bestFit="1" customWidth="1"/>
    <col min="70" max="71" width="11.25" style="1" bestFit="1" customWidth="1"/>
    <col min="72" max="72" width="11.08203125" style="1" bestFit="1" customWidth="1"/>
    <col min="73" max="73" width="11.25" style="1" bestFit="1" customWidth="1"/>
    <col min="74" max="74" width="12" style="1" bestFit="1" customWidth="1"/>
    <col min="75" max="76" width="11.08203125" style="1" bestFit="1" customWidth="1"/>
    <col min="77" max="77" width="11.1640625" style="1" bestFit="1" customWidth="1"/>
    <col min="78" max="78" width="11.08203125" style="1" bestFit="1" customWidth="1"/>
    <col min="79" max="80" width="11.33203125" style="1" bestFit="1" customWidth="1"/>
    <col min="81" max="81" width="12" style="1" bestFit="1" customWidth="1"/>
    <col min="82" max="82" width="10" style="1" bestFit="1" customWidth="1"/>
    <col min="83" max="83" width="10.08203125" style="1" bestFit="1" customWidth="1"/>
    <col min="84" max="84" width="11.33203125" style="1" bestFit="1" customWidth="1"/>
    <col min="85" max="85" width="11.25" style="1" bestFit="1" customWidth="1"/>
    <col min="86" max="86" width="11.1640625" style="1" bestFit="1" customWidth="1"/>
    <col min="87" max="88" width="11.08203125" style="1" bestFit="1" customWidth="1"/>
    <col min="89" max="89" width="9.75" style="1" bestFit="1" customWidth="1"/>
    <col min="90" max="90" width="10.9140625" style="1" bestFit="1" customWidth="1"/>
    <col min="91" max="91" width="11.25" style="1" bestFit="1" customWidth="1"/>
    <col min="92" max="92" width="11.33203125" style="1" bestFit="1" customWidth="1"/>
    <col min="93" max="93" width="11.08203125" style="1" bestFit="1" customWidth="1"/>
    <col min="94" max="94" width="12" style="1" bestFit="1" customWidth="1"/>
    <col min="95" max="95" width="12.33203125" style="1" bestFit="1" customWidth="1"/>
    <col min="96" max="96" width="11.1640625" style="1" bestFit="1" customWidth="1"/>
    <col min="97" max="97" width="10.9140625" style="1" bestFit="1" customWidth="1"/>
    <col min="98" max="98" width="11.25" style="1" bestFit="1" customWidth="1"/>
    <col min="99" max="99" width="11.33203125" style="1" bestFit="1" customWidth="1"/>
    <col min="100" max="100" width="9.9140625" style="1" bestFit="1" customWidth="1"/>
    <col min="101" max="101" width="11.5" style="1" bestFit="1" customWidth="1"/>
    <col min="102" max="102" width="10.9140625" style="1" bestFit="1" customWidth="1"/>
    <col min="103" max="103" width="11.1640625" style="1" bestFit="1" customWidth="1"/>
    <col min="104" max="104" width="11.33203125" style="1" bestFit="1" customWidth="1"/>
    <col min="105" max="105" width="12" style="1" bestFit="1" customWidth="1"/>
    <col min="106" max="106" width="11.08203125" style="1" bestFit="1" customWidth="1"/>
    <col min="107" max="107" width="10.08203125" style="1" bestFit="1" customWidth="1"/>
    <col min="108" max="108" width="9.5" style="1" bestFit="1" customWidth="1"/>
    <col min="109" max="109" width="11.08203125" style="1" bestFit="1" customWidth="1"/>
    <col min="110" max="110" width="11.25" style="1" bestFit="1" customWidth="1"/>
    <col min="111" max="111" width="8.9140625" style="1" bestFit="1" customWidth="1"/>
    <col min="112" max="112" width="9.9140625" style="1" bestFit="1" customWidth="1"/>
    <col min="113" max="113" width="11.1640625" style="1" bestFit="1" customWidth="1"/>
    <col min="114" max="114" width="11.25" style="1" bestFit="1" customWidth="1"/>
    <col min="115" max="115" width="12.33203125" style="1" bestFit="1" customWidth="1"/>
    <col min="116" max="116" width="11.5" style="1" bestFit="1" customWidth="1"/>
    <col min="117" max="117" width="11.25" style="1" bestFit="1" customWidth="1"/>
    <col min="118" max="118" width="9.9140625" style="1" bestFit="1" customWidth="1"/>
    <col min="119" max="119" width="11.1640625" style="1" bestFit="1" customWidth="1"/>
    <col min="120" max="120" width="12" style="1" bestFit="1" customWidth="1"/>
    <col min="121" max="121" width="10.9140625" style="1" bestFit="1" customWidth="1"/>
    <col min="122" max="122" width="11.08203125" style="1" bestFit="1" customWidth="1"/>
    <col min="123" max="124" width="11.5" style="1" bestFit="1" customWidth="1"/>
    <col min="125" max="125" width="12" style="1" bestFit="1" customWidth="1"/>
    <col min="126" max="126" width="10.08203125" style="1" bestFit="1" customWidth="1"/>
    <col min="127" max="127" width="10" style="1" bestFit="1" customWidth="1"/>
    <col min="128" max="128" width="11.1640625" style="1" bestFit="1" customWidth="1"/>
    <col min="129" max="129" width="11.25" style="1" bestFit="1" customWidth="1"/>
    <col min="130" max="130" width="9.6640625" style="1" bestFit="1" customWidth="1"/>
    <col min="131" max="131" width="11.33203125" style="1" bestFit="1" customWidth="1"/>
    <col min="132" max="132" width="11.08203125" style="1" bestFit="1" customWidth="1"/>
    <col min="133" max="133" width="10.9140625" style="1" bestFit="1" customWidth="1"/>
    <col min="134" max="134" width="12.08203125" style="1" bestFit="1" customWidth="1"/>
    <col min="135" max="135" width="10.08203125" style="1" bestFit="1" customWidth="1"/>
    <col min="136" max="136" width="11.1640625" style="1" bestFit="1" customWidth="1"/>
    <col min="137" max="137" width="11.25" style="1" bestFit="1" customWidth="1"/>
    <col min="138" max="138" width="12" style="1" bestFit="1" customWidth="1"/>
    <col min="139" max="139" width="11.08203125" style="1" bestFit="1" customWidth="1"/>
    <col min="140" max="140" width="11.9140625" style="1" bestFit="1" customWidth="1"/>
    <col min="141" max="141" width="11.33203125" style="1" bestFit="1" customWidth="1"/>
    <col min="142" max="142" width="11.08203125" style="1" bestFit="1" customWidth="1"/>
    <col min="143" max="143" width="10.9140625" style="1" bestFit="1" customWidth="1"/>
    <col min="144" max="144" width="11.25" style="1" bestFit="1" customWidth="1"/>
    <col min="145" max="145" width="11.1640625" style="1" bestFit="1" customWidth="1"/>
    <col min="146" max="146" width="11.33203125" style="1" bestFit="1" customWidth="1"/>
    <col min="147" max="147" width="10.83203125" style="1" bestFit="1" customWidth="1"/>
    <col min="148" max="148" width="11.08203125" style="1" bestFit="1" customWidth="1"/>
    <col min="149" max="149" width="11.25" style="1" bestFit="1" customWidth="1"/>
    <col min="150" max="150" width="11.33203125" style="1" bestFit="1" customWidth="1"/>
    <col min="151" max="151" width="9.75" style="1" bestFit="1" customWidth="1"/>
    <col min="152" max="156" width="11.25" style="1" bestFit="1" customWidth="1"/>
    <col min="157" max="157" width="9.9140625" style="1" bestFit="1" customWidth="1"/>
    <col min="158" max="158" width="10.83203125" style="1" bestFit="1" customWidth="1"/>
    <col min="159" max="159" width="9.9140625" style="1" bestFit="1" customWidth="1"/>
    <col min="160" max="160" width="11.33203125" style="1" bestFit="1" customWidth="1"/>
    <col min="161" max="161" width="10.1640625" style="1" bestFit="1" customWidth="1"/>
    <col min="162" max="162" width="12.33203125" style="1" bestFit="1" customWidth="1"/>
    <col min="163" max="163" width="12.08203125" style="1" bestFit="1" customWidth="1"/>
    <col min="164" max="164" width="11.9140625" style="1" bestFit="1" customWidth="1"/>
    <col min="165" max="165" width="11.33203125" style="1" bestFit="1" customWidth="1"/>
    <col min="166" max="166" width="11.1640625" style="1" bestFit="1" customWidth="1"/>
    <col min="167" max="167" width="11.25" style="1" bestFit="1" customWidth="1"/>
    <col min="168" max="168" width="11.08203125" style="1" bestFit="1" customWidth="1"/>
    <col min="169" max="169" width="12.25" style="1" bestFit="1" customWidth="1"/>
    <col min="170" max="170" width="12.08203125" style="1" bestFit="1" customWidth="1"/>
    <col min="171" max="171" width="11.25" style="1" bestFit="1" customWidth="1"/>
    <col min="172" max="172" width="11.1640625" style="1" bestFit="1" customWidth="1"/>
    <col min="173" max="173" width="12.25" style="1" bestFit="1" customWidth="1"/>
    <col min="174" max="174" width="10" style="1" bestFit="1" customWidth="1"/>
    <col min="175" max="175" width="11.33203125" style="1" bestFit="1" customWidth="1"/>
    <col min="176" max="176" width="11.08203125" style="1" bestFit="1" customWidth="1"/>
    <col min="177" max="177" width="12.08203125" style="1" bestFit="1" customWidth="1"/>
    <col min="178" max="179" width="11.25" style="1" bestFit="1" customWidth="1"/>
    <col min="180" max="180" width="12.08203125" style="1" bestFit="1" customWidth="1"/>
    <col min="181" max="181" width="11.08203125" style="1" bestFit="1" customWidth="1"/>
    <col min="182" max="182" width="11.5" style="1" bestFit="1" customWidth="1"/>
    <col min="183" max="183" width="11.25" style="1" bestFit="1" customWidth="1"/>
    <col min="184" max="184" width="9.9140625" style="1" bestFit="1" customWidth="1"/>
    <col min="185" max="185" width="12" style="1" bestFit="1" customWidth="1"/>
    <col min="186" max="186" width="10.83203125" style="1" bestFit="1" customWidth="1"/>
    <col min="187" max="187" width="10" style="1" bestFit="1" customWidth="1"/>
    <col min="188" max="188" width="11.33203125" style="1" bestFit="1" customWidth="1"/>
    <col min="189" max="189" width="11.25" style="1" bestFit="1" customWidth="1"/>
    <col min="190" max="192" width="11.1640625" style="1" bestFit="1" customWidth="1"/>
    <col min="193" max="193" width="9.9140625" style="1" bestFit="1" customWidth="1"/>
    <col min="194" max="194" width="10.9140625" style="1" bestFit="1" customWidth="1"/>
    <col min="195" max="195" width="9.9140625" style="1" bestFit="1" customWidth="1"/>
    <col min="196" max="196" width="11.83203125" style="1" bestFit="1" customWidth="1"/>
    <col min="197" max="197" width="10.9140625" style="1" bestFit="1" customWidth="1"/>
    <col min="198" max="198" width="11.33203125" style="1" bestFit="1" customWidth="1"/>
    <col min="199" max="199" width="11.9140625" style="1" bestFit="1" customWidth="1"/>
    <col min="200" max="200" width="10.83203125" style="1" bestFit="1" customWidth="1"/>
    <col min="201" max="202" width="11.1640625" style="1" bestFit="1" customWidth="1"/>
    <col min="203" max="204" width="11.25" style="1" bestFit="1" customWidth="1"/>
    <col min="205" max="205" width="11.08203125" style="1" bestFit="1" customWidth="1"/>
    <col min="206" max="206" width="11.1640625" style="1" bestFit="1" customWidth="1"/>
    <col min="207" max="207" width="10.9140625" style="1" bestFit="1" customWidth="1"/>
    <col min="208" max="209" width="9.75" style="1" bestFit="1" customWidth="1"/>
    <col min="210" max="210" width="10.9140625" style="1" bestFit="1" customWidth="1"/>
    <col min="211" max="211" width="12.25" style="1" bestFit="1" customWidth="1"/>
    <col min="212" max="212" width="11.5" style="1" bestFit="1" customWidth="1"/>
    <col min="213" max="213" width="11.08203125" style="1" bestFit="1" customWidth="1"/>
    <col min="214" max="214" width="11.33203125" style="1" bestFit="1" customWidth="1"/>
    <col min="215" max="215" width="12.08203125" style="1" bestFit="1" customWidth="1"/>
    <col min="216" max="216" width="11.5" style="1" bestFit="1" customWidth="1"/>
    <col min="217" max="217" width="11.25" style="1" bestFit="1" customWidth="1"/>
    <col min="218" max="220" width="11.1640625" style="1" bestFit="1" customWidth="1"/>
    <col min="221" max="221" width="12.25" style="1" bestFit="1" customWidth="1"/>
    <col min="222" max="222" width="11.08203125" style="1" bestFit="1" customWidth="1"/>
    <col min="223" max="223" width="9.9140625" style="1" bestFit="1" customWidth="1"/>
    <col min="224" max="224" width="10.83203125" style="1" bestFit="1" customWidth="1"/>
    <col min="225" max="225" width="12" style="1" bestFit="1" customWidth="1"/>
    <col min="226" max="226" width="10.9140625" style="1" bestFit="1" customWidth="1"/>
    <col min="227" max="227" width="11.33203125" style="1" bestFit="1" customWidth="1"/>
    <col min="228" max="228" width="11.1640625" style="1" bestFit="1" customWidth="1"/>
    <col min="229" max="229" width="12.5" style="1" bestFit="1" customWidth="1"/>
    <col min="230" max="230" width="11.08203125" style="1" bestFit="1" customWidth="1"/>
    <col min="231" max="231" width="11.5" style="1" bestFit="1" customWidth="1"/>
    <col min="232" max="232" width="11.25" style="1" bestFit="1" customWidth="1"/>
    <col min="233" max="234" width="11.08203125" style="1" bestFit="1" customWidth="1"/>
    <col min="235" max="235" width="12.08203125" style="1" bestFit="1" customWidth="1"/>
    <col min="236" max="236" width="11.33203125" style="1" bestFit="1" customWidth="1"/>
    <col min="237" max="237" width="10.9140625" style="1" bestFit="1" customWidth="1"/>
    <col min="238" max="238" width="12" style="1" bestFit="1" customWidth="1"/>
    <col min="239" max="239" width="11.08203125" style="1" bestFit="1" customWidth="1"/>
    <col min="240" max="241" width="11.1640625" style="1" bestFit="1" customWidth="1"/>
    <col min="242" max="242" width="11.33203125" style="1" bestFit="1" customWidth="1"/>
    <col min="243" max="243" width="11.25" style="1" bestFit="1" customWidth="1"/>
    <col min="244" max="244" width="13.33203125" style="1" bestFit="1" customWidth="1"/>
    <col min="245" max="16384" width="10.6640625" style="1"/>
  </cols>
  <sheetData>
    <row r="5" spans="2:244">
      <c r="B5" s="1" t="s">
        <v>1087</v>
      </c>
      <c r="D5" s="1" t="s">
        <v>1088</v>
      </c>
      <c r="F5" s="1" t="s">
        <v>1089</v>
      </c>
      <c r="H5" s="1" t="s">
        <v>1090</v>
      </c>
    </row>
    <row r="6" spans="2:244">
      <c r="B6" s="47">
        <v>1376471572</v>
      </c>
      <c r="D6" s="47">
        <v>506454215</v>
      </c>
      <c r="F6" s="48">
        <v>0.36793655989867402</v>
      </c>
      <c r="H6" s="49">
        <v>16461</v>
      </c>
    </row>
    <row r="9" spans="2:244" ht="15.6">
      <c r="B9" s="50" t="s">
        <v>1106</v>
      </c>
      <c r="C9" t="s">
        <v>1087</v>
      </c>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row>
    <row r="10" spans="2:244" ht="15.6">
      <c r="B10" s="52" t="s">
        <v>1096</v>
      </c>
      <c r="C10" s="51">
        <v>98185105</v>
      </c>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c r="GL10"/>
      <c r="GM10"/>
      <c r="GN10"/>
      <c r="GO10"/>
      <c r="GP10"/>
      <c r="GQ10"/>
      <c r="GR10"/>
      <c r="GS10"/>
      <c r="GT10"/>
      <c r="GU10"/>
      <c r="GV10"/>
      <c r="GW10"/>
      <c r="GX10"/>
      <c r="GY10"/>
      <c r="GZ10"/>
      <c r="HA10"/>
      <c r="HB10"/>
      <c r="HC10"/>
      <c r="HD10"/>
      <c r="HE10"/>
      <c r="HF10"/>
      <c r="HG10"/>
      <c r="HH10"/>
      <c r="HI10"/>
      <c r="HJ10"/>
      <c r="HK10"/>
      <c r="HL10"/>
      <c r="HM10"/>
      <c r="HN10"/>
      <c r="HO10"/>
      <c r="HP10"/>
      <c r="HQ10"/>
      <c r="HR10"/>
      <c r="HS10"/>
      <c r="HT10"/>
      <c r="HU10"/>
      <c r="HV10"/>
      <c r="HW10"/>
      <c r="HX10"/>
      <c r="HY10"/>
      <c r="HZ10"/>
      <c r="IA10"/>
      <c r="IB10"/>
      <c r="IC10"/>
      <c r="ID10"/>
      <c r="IE10"/>
      <c r="IF10"/>
      <c r="IG10"/>
      <c r="IH10"/>
      <c r="II10"/>
      <c r="IJ10"/>
    </row>
    <row r="11" spans="2:244" ht="15.6">
      <c r="B11" s="52" t="s">
        <v>1094</v>
      </c>
      <c r="C11" s="51">
        <v>91641993</v>
      </c>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c r="GL11"/>
      <c r="GM11"/>
      <c r="GN11"/>
      <c r="GO11"/>
      <c r="GP11"/>
      <c r="GQ11"/>
      <c r="GR11"/>
      <c r="GS11"/>
      <c r="GT11"/>
      <c r="GU11"/>
      <c r="GV11"/>
      <c r="GW11"/>
      <c r="GX11"/>
      <c r="GY11"/>
      <c r="GZ11"/>
      <c r="HA11"/>
      <c r="HB11"/>
      <c r="HC11"/>
      <c r="HD11"/>
      <c r="HE11"/>
      <c r="HF11"/>
      <c r="HG11"/>
      <c r="HH11"/>
      <c r="HI11"/>
      <c r="HJ11"/>
      <c r="HK11"/>
      <c r="HL11"/>
      <c r="HM11"/>
      <c r="HN11"/>
      <c r="HO11"/>
      <c r="HP11"/>
      <c r="HQ11"/>
      <c r="HR11"/>
      <c r="HS11"/>
      <c r="HT11"/>
      <c r="HU11"/>
      <c r="HV11"/>
      <c r="HW11"/>
      <c r="HX11"/>
      <c r="HY11"/>
      <c r="HZ11"/>
      <c r="IA11"/>
      <c r="IB11"/>
      <c r="IC11"/>
      <c r="ID11"/>
      <c r="IE11"/>
      <c r="IF11"/>
      <c r="IG11"/>
      <c r="IH11"/>
      <c r="II11"/>
      <c r="IJ11"/>
    </row>
    <row r="12" spans="2:244" ht="15.6">
      <c r="B12" s="52" t="s">
        <v>1104</v>
      </c>
      <c r="C12" s="51">
        <v>148844446</v>
      </c>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c r="GL12"/>
      <c r="GM12"/>
      <c r="GN12"/>
      <c r="GO12"/>
      <c r="GP12"/>
      <c r="GQ12"/>
      <c r="GR12"/>
      <c r="GS12"/>
      <c r="GT12"/>
      <c r="GU12"/>
      <c r="GV12"/>
      <c r="GW12"/>
      <c r="GX12"/>
      <c r="GY12"/>
      <c r="GZ12"/>
      <c r="HA12"/>
      <c r="HB12"/>
      <c r="HC12"/>
      <c r="HD12"/>
      <c r="HE12"/>
      <c r="HF12"/>
      <c r="HG12"/>
      <c r="HH12"/>
      <c r="HI12"/>
      <c r="HJ12"/>
      <c r="HK12"/>
      <c r="HL12"/>
      <c r="HM12"/>
      <c r="HN12"/>
      <c r="HO12"/>
      <c r="HP12"/>
      <c r="HQ12"/>
      <c r="HR12"/>
      <c r="HS12"/>
      <c r="HT12"/>
      <c r="HU12"/>
      <c r="HV12"/>
      <c r="HW12"/>
      <c r="HX12"/>
      <c r="HY12"/>
      <c r="HZ12"/>
      <c r="IA12"/>
      <c r="IB12"/>
      <c r="IC12"/>
      <c r="ID12"/>
      <c r="IE12"/>
      <c r="IF12"/>
      <c r="IG12"/>
      <c r="IH12"/>
      <c r="II12"/>
      <c r="IJ12"/>
    </row>
    <row r="13" spans="2:244" ht="15.6">
      <c r="B13" s="52" t="s">
        <v>1098</v>
      </c>
      <c r="C13" s="51">
        <v>106142725</v>
      </c>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row>
    <row r="14" spans="2:244" ht="15.6">
      <c r="B14" s="52" t="s">
        <v>1099</v>
      </c>
      <c r="C14" s="51">
        <v>120459486</v>
      </c>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row>
    <row r="15" spans="2:244" ht="15.6">
      <c r="B15" s="52" t="s">
        <v>1101</v>
      </c>
      <c r="C15" s="51">
        <v>105190357</v>
      </c>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row>
    <row r="16" spans="2:244" ht="15.6">
      <c r="B16" s="52" t="s">
        <v>1100</v>
      </c>
      <c r="C16" s="51">
        <v>114838367</v>
      </c>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row>
    <row r="17" spans="2:244" ht="15.6">
      <c r="B17" s="52" t="s">
        <v>1097</v>
      </c>
      <c r="C17" s="51">
        <v>156794791</v>
      </c>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row>
    <row r="18" spans="2:244" ht="15.6">
      <c r="B18" s="52" t="s">
        <v>1103</v>
      </c>
      <c r="C18" s="51">
        <v>109055960</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row>
    <row r="19" spans="2:244" ht="15.6">
      <c r="B19" s="52" t="s">
        <v>1095</v>
      </c>
      <c r="C19" s="51">
        <v>115655447</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row>
    <row r="20" spans="2:244" ht="15.6">
      <c r="B20" s="52" t="s">
        <v>1105</v>
      </c>
      <c r="C20" s="51">
        <v>87409090</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row>
    <row r="21" spans="2:244" ht="15.6">
      <c r="B21" s="52" t="s">
        <v>1102</v>
      </c>
      <c r="C21" s="51">
        <v>122253805</v>
      </c>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row>
    <row r="22" spans="2:244" ht="15.6">
      <c r="B22" s="52" t="s">
        <v>1091</v>
      </c>
      <c r="C22">
        <v>1376471572</v>
      </c>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row>
    <row r="23" spans="2:244" ht="15.6">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row>
    <row r="24" spans="2:244" ht="15.6">
      <c r="B24"/>
      <c r="C24"/>
      <c r="D24"/>
    </row>
    <row r="25" spans="2:244" ht="15.6">
      <c r="B25" s="50" t="s">
        <v>1106</v>
      </c>
      <c r="C25" t="s">
        <v>1088</v>
      </c>
      <c r="D25"/>
    </row>
    <row r="26" spans="2:244" ht="15.6">
      <c r="B26" s="52" t="s">
        <v>533</v>
      </c>
      <c r="C26" s="51">
        <v>98957644</v>
      </c>
      <c r="D26"/>
    </row>
    <row r="27" spans="2:244" ht="15.6">
      <c r="B27" s="52" t="s">
        <v>539</v>
      </c>
      <c r="C27" s="51">
        <v>133036233</v>
      </c>
      <c r="D27"/>
    </row>
    <row r="28" spans="2:244" ht="15.6">
      <c r="B28" s="52" t="s">
        <v>560</v>
      </c>
      <c r="C28" s="51">
        <v>81999073</v>
      </c>
      <c r="D28"/>
    </row>
    <row r="29" spans="2:244" ht="15.6">
      <c r="B29" s="52" t="s">
        <v>521</v>
      </c>
      <c r="C29" s="51">
        <v>71138698</v>
      </c>
      <c r="D29"/>
    </row>
    <row r="30" spans="2:244" ht="15.6">
      <c r="B30" s="52" t="s">
        <v>544</v>
      </c>
      <c r="C30" s="51">
        <v>121322567</v>
      </c>
      <c r="D30"/>
    </row>
    <row r="31" spans="2:244" ht="15.6">
      <c r="B31" s="52" t="s">
        <v>1091</v>
      </c>
      <c r="C31">
        <v>506454215</v>
      </c>
      <c r="D31"/>
    </row>
    <row r="32" spans="2:244" ht="15.6">
      <c r="B32"/>
      <c r="C32"/>
      <c r="D32"/>
    </row>
    <row r="33" spans="2:4" ht="15.6">
      <c r="B33"/>
      <c r="C33"/>
      <c r="D33"/>
    </row>
    <row r="34" spans="2:4" ht="15.6">
      <c r="B34" s="50" t="s">
        <v>1106</v>
      </c>
      <c r="C34" t="s">
        <v>1087</v>
      </c>
      <c r="D34"/>
    </row>
    <row r="35" spans="2:4" ht="15.6">
      <c r="B35" s="52" t="s">
        <v>851</v>
      </c>
      <c r="C35" s="51">
        <v>397344175</v>
      </c>
      <c r="D35"/>
    </row>
    <row r="36" spans="2:4" ht="15.6">
      <c r="B36" s="52" t="s">
        <v>520</v>
      </c>
      <c r="C36" s="51">
        <v>519576644</v>
      </c>
      <c r="D36"/>
    </row>
    <row r="37" spans="2:4" ht="15.6">
      <c r="B37" s="52" t="s">
        <v>723</v>
      </c>
      <c r="C37" s="51">
        <v>459550753</v>
      </c>
      <c r="D37"/>
    </row>
    <row r="38" spans="2:4" ht="15.6">
      <c r="B38" s="52" t="s">
        <v>1091</v>
      </c>
      <c r="C38">
        <v>1376471572</v>
      </c>
      <c r="D38"/>
    </row>
    <row r="39" spans="2:4" ht="15.6">
      <c r="B39"/>
      <c r="C39"/>
      <c r="D39"/>
    </row>
    <row r="40" spans="2:4" ht="15.6">
      <c r="B40"/>
      <c r="C40"/>
      <c r="D40"/>
    </row>
    <row r="41" spans="2:4" ht="15.6">
      <c r="B41"/>
      <c r="C41"/>
      <c r="D41"/>
    </row>
    <row r="42" spans="2:4" ht="15.6">
      <c r="B42"/>
      <c r="C42"/>
      <c r="D42"/>
    </row>
    <row r="43" spans="2:4" ht="15.6">
      <c r="B43"/>
      <c r="C43"/>
      <c r="D43"/>
    </row>
    <row r="44" spans="2:4" ht="15.6">
      <c r="B44"/>
      <c r="C44"/>
      <c r="D44"/>
    </row>
    <row r="45" spans="2:4" ht="15.6">
      <c r="B45"/>
      <c r="C45"/>
      <c r="D45"/>
    </row>
    <row r="46" spans="2:4" ht="15.6">
      <c r="B46"/>
      <c r="C46"/>
      <c r="D46"/>
    </row>
    <row r="47" spans="2:4" ht="15.6">
      <c r="B47"/>
      <c r="C47"/>
      <c r="D47"/>
    </row>
    <row r="48" spans="2:4" ht="15.6">
      <c r="B48"/>
      <c r="C48"/>
      <c r="D48"/>
    </row>
    <row r="49" spans="2:4" ht="15.6">
      <c r="B49"/>
      <c r="C49"/>
      <c r="D49"/>
    </row>
    <row r="50" spans="2:4" ht="15.6">
      <c r="B50"/>
      <c r="C50"/>
      <c r="D50"/>
    </row>
    <row r="51" spans="2:4" ht="15.6">
      <c r="B51"/>
      <c r="C51"/>
      <c r="D51"/>
    </row>
    <row r="52" spans="2:4" ht="15.6">
      <c r="B52"/>
      <c r="C52"/>
    </row>
    <row r="53" spans="2:4" ht="15.6">
      <c r="B53"/>
      <c r="C53"/>
    </row>
    <row r="54" spans="2:4" ht="15.6">
      <c r="B54"/>
      <c r="C54"/>
    </row>
    <row r="55" spans="2:4" ht="15.6">
      <c r="B55"/>
      <c r="C55"/>
    </row>
    <row r="56" spans="2:4" ht="15.6">
      <c r="B56"/>
      <c r="C56"/>
    </row>
    <row r="57" spans="2:4" ht="15.6">
      <c r="B57"/>
      <c r="C57"/>
    </row>
    <row r="58" spans="2:4" ht="15.6">
      <c r="B58"/>
      <c r="C58"/>
    </row>
    <row r="59" spans="2:4" ht="15.6">
      <c r="B59"/>
      <c r="C59"/>
    </row>
    <row r="60" spans="2:4" ht="15.6">
      <c r="B60"/>
      <c r="C60"/>
    </row>
    <row r="61" spans="2:4" ht="15.6">
      <c r="B61"/>
      <c r="C61"/>
    </row>
    <row r="62" spans="2:4" ht="15.6">
      <c r="B62"/>
      <c r="C62"/>
    </row>
    <row r="63" spans="2:4" ht="15.6">
      <c r="B63"/>
      <c r="C63"/>
    </row>
    <row r="64" spans="2:4" ht="15.6">
      <c r="B64"/>
      <c r="C64"/>
    </row>
    <row r="65" spans="2:3" ht="15.6">
      <c r="B65"/>
      <c r="C65"/>
    </row>
    <row r="66" spans="2:3" ht="15.6">
      <c r="B66"/>
      <c r="C66"/>
    </row>
    <row r="67" spans="2:3" ht="15.6">
      <c r="B67"/>
      <c r="C67"/>
    </row>
    <row r="68" spans="2:3" ht="15.6">
      <c r="B68"/>
      <c r="C68"/>
    </row>
    <row r="69" spans="2:3" ht="15.6">
      <c r="B69"/>
      <c r="C69"/>
    </row>
    <row r="70" spans="2:3" ht="15.6">
      <c r="B70"/>
      <c r="C70"/>
    </row>
    <row r="71" spans="2:3" ht="15.6">
      <c r="B71"/>
      <c r="C71"/>
    </row>
    <row r="72" spans="2:3" ht="15.6">
      <c r="B72"/>
      <c r="C72"/>
    </row>
    <row r="73" spans="2:3" ht="15.6">
      <c r="B73"/>
      <c r="C73"/>
    </row>
    <row r="74" spans="2:3" ht="15.6">
      <c r="B74"/>
      <c r="C74"/>
    </row>
    <row r="75" spans="2:3" ht="15.6">
      <c r="B75"/>
      <c r="C75"/>
    </row>
    <row r="76" spans="2:3" ht="15.6">
      <c r="B76"/>
      <c r="C76"/>
    </row>
    <row r="77" spans="2:3" ht="15.6">
      <c r="B77"/>
      <c r="C77"/>
    </row>
    <row r="78" spans="2:3" ht="15.6">
      <c r="B78"/>
      <c r="C78"/>
    </row>
    <row r="79" spans="2:3" ht="15.6">
      <c r="B79"/>
      <c r="C79"/>
    </row>
    <row r="80" spans="2:3" ht="15.6">
      <c r="B80"/>
      <c r="C80"/>
    </row>
    <row r="81" spans="2:3" ht="15.6">
      <c r="B81"/>
      <c r="C81"/>
    </row>
    <row r="82" spans="2:3" ht="15.6">
      <c r="B82"/>
      <c r="C82"/>
    </row>
    <row r="83" spans="2:3" ht="15.6">
      <c r="B83"/>
      <c r="C83"/>
    </row>
    <row r="84" spans="2:3" ht="15.6">
      <c r="B84"/>
      <c r="C84"/>
    </row>
    <row r="85" spans="2:3" ht="15.6">
      <c r="B85"/>
      <c r="C85"/>
    </row>
    <row r="86" spans="2:3" ht="15.6">
      <c r="B86"/>
      <c r="C86"/>
    </row>
    <row r="87" spans="2:3" ht="15.6">
      <c r="B87"/>
      <c r="C87"/>
    </row>
    <row r="88" spans="2:3" ht="15.6">
      <c r="B88"/>
      <c r="C88"/>
    </row>
    <row r="89" spans="2:3" ht="15.6">
      <c r="B89"/>
      <c r="C89"/>
    </row>
    <row r="90" spans="2:3" ht="15.6">
      <c r="B90"/>
      <c r="C90"/>
    </row>
    <row r="91" spans="2:3" ht="15.6">
      <c r="B91"/>
      <c r="C91"/>
    </row>
    <row r="92" spans="2:3" ht="15.6">
      <c r="B92"/>
      <c r="C92"/>
    </row>
    <row r="93" spans="2:3" ht="15.6">
      <c r="B93"/>
      <c r="C93"/>
    </row>
    <row r="94" spans="2:3" ht="15.6">
      <c r="B94"/>
      <c r="C94"/>
    </row>
    <row r="95" spans="2:3" ht="15.6">
      <c r="B95"/>
      <c r="C95"/>
    </row>
    <row r="96" spans="2:3" ht="15.6">
      <c r="B96"/>
      <c r="C96"/>
    </row>
    <row r="97" spans="2:3" ht="15.6">
      <c r="B97"/>
      <c r="C97"/>
    </row>
    <row r="98" spans="2:3" ht="15.6">
      <c r="B98"/>
      <c r="C98"/>
    </row>
    <row r="99" spans="2:3" ht="15.6">
      <c r="B99"/>
      <c r="C99"/>
    </row>
    <row r="100" spans="2:3" ht="15.6">
      <c r="B100"/>
      <c r="C100"/>
    </row>
    <row r="101" spans="2:3" ht="15.6">
      <c r="B101"/>
      <c r="C101"/>
    </row>
    <row r="102" spans="2:3" ht="15.6">
      <c r="B102"/>
      <c r="C102"/>
    </row>
    <row r="103" spans="2:3" ht="15.6">
      <c r="B103"/>
      <c r="C103"/>
    </row>
    <row r="104" spans="2:3" ht="15.6">
      <c r="B104"/>
      <c r="C104"/>
    </row>
    <row r="105" spans="2:3" ht="15.6">
      <c r="B105"/>
      <c r="C105"/>
    </row>
    <row r="106" spans="2:3" ht="15.6">
      <c r="B106"/>
      <c r="C106"/>
    </row>
    <row r="107" spans="2:3" ht="15.6">
      <c r="B107"/>
      <c r="C107"/>
    </row>
    <row r="108" spans="2:3" ht="15.6">
      <c r="B108"/>
      <c r="C108"/>
    </row>
    <row r="109" spans="2:3" ht="15.6">
      <c r="B109"/>
      <c r="C109"/>
    </row>
    <row r="110" spans="2:3" ht="15.6">
      <c r="B110"/>
      <c r="C110"/>
    </row>
    <row r="111" spans="2:3" ht="15.6">
      <c r="B111"/>
      <c r="C111"/>
    </row>
    <row r="112" spans="2:3" ht="15.6">
      <c r="B112"/>
      <c r="C112"/>
    </row>
    <row r="113" spans="2:3" ht="15.6">
      <c r="B113"/>
      <c r="C113"/>
    </row>
    <row r="114" spans="2:3" ht="15.6">
      <c r="B114"/>
      <c r="C114"/>
    </row>
    <row r="115" spans="2:3" ht="15.6">
      <c r="B115"/>
      <c r="C115"/>
    </row>
    <row r="116" spans="2:3" ht="15.6">
      <c r="B116"/>
      <c r="C116"/>
    </row>
    <row r="117" spans="2:3" ht="15.6">
      <c r="B117"/>
      <c r="C117"/>
    </row>
    <row r="118" spans="2:3" ht="15.6">
      <c r="B118"/>
      <c r="C118"/>
    </row>
    <row r="119" spans="2:3" ht="15.6">
      <c r="B119"/>
      <c r="C119"/>
    </row>
    <row r="120" spans="2:3" ht="15.6">
      <c r="B120"/>
      <c r="C120"/>
    </row>
    <row r="121" spans="2:3" ht="15.6">
      <c r="B121"/>
      <c r="C121"/>
    </row>
    <row r="122" spans="2:3" ht="15.6">
      <c r="B122"/>
      <c r="C122"/>
    </row>
    <row r="123" spans="2:3" ht="15.6">
      <c r="B123"/>
      <c r="C123"/>
    </row>
    <row r="124" spans="2:3" ht="15.6">
      <c r="B124"/>
      <c r="C124"/>
    </row>
    <row r="125" spans="2:3" ht="15.6">
      <c r="B125"/>
      <c r="C125"/>
    </row>
    <row r="126" spans="2:3" ht="15.6">
      <c r="B126"/>
      <c r="C126"/>
    </row>
    <row r="127" spans="2:3" ht="15.6">
      <c r="B127"/>
      <c r="C127"/>
    </row>
    <row r="128" spans="2:3" ht="15.6">
      <c r="B128"/>
      <c r="C128"/>
    </row>
    <row r="129" spans="2:3" ht="15.6">
      <c r="B129"/>
      <c r="C129"/>
    </row>
    <row r="130" spans="2:3" ht="15.6">
      <c r="B130"/>
      <c r="C130"/>
    </row>
    <row r="131" spans="2:3" ht="15.6">
      <c r="B131"/>
      <c r="C131"/>
    </row>
    <row r="132" spans="2:3" ht="15.6">
      <c r="B132"/>
      <c r="C132"/>
    </row>
    <row r="133" spans="2:3" ht="15.6">
      <c r="B133"/>
      <c r="C133"/>
    </row>
    <row r="134" spans="2:3" ht="15.6">
      <c r="B134"/>
      <c r="C134"/>
    </row>
    <row r="135" spans="2:3" ht="15.6">
      <c r="B135"/>
      <c r="C135"/>
    </row>
    <row r="136" spans="2:3" ht="15.6">
      <c r="B136"/>
      <c r="C136"/>
    </row>
    <row r="137" spans="2:3" ht="15.6">
      <c r="B137"/>
      <c r="C137"/>
    </row>
    <row r="138" spans="2:3" ht="15.6">
      <c r="B138"/>
      <c r="C138"/>
    </row>
    <row r="139" spans="2:3" ht="15.6">
      <c r="B139"/>
      <c r="C139"/>
    </row>
    <row r="140" spans="2:3" ht="15.6">
      <c r="B140"/>
      <c r="C140"/>
    </row>
    <row r="141" spans="2:3" ht="15.6">
      <c r="B141"/>
      <c r="C141"/>
    </row>
    <row r="142" spans="2:3" ht="15.6">
      <c r="B142"/>
      <c r="C142"/>
    </row>
    <row r="143" spans="2:3" ht="15.6">
      <c r="B143"/>
      <c r="C143"/>
    </row>
    <row r="144" spans="2:3" ht="15.6">
      <c r="B144"/>
      <c r="C144"/>
    </row>
    <row r="145" spans="2:3" ht="15.6">
      <c r="B145"/>
      <c r="C145"/>
    </row>
    <row r="146" spans="2:3" ht="15.6">
      <c r="B146"/>
      <c r="C146"/>
    </row>
    <row r="147" spans="2:3" ht="15.6">
      <c r="B147"/>
      <c r="C147"/>
    </row>
    <row r="148" spans="2:3" ht="15.6">
      <c r="B148"/>
      <c r="C148"/>
    </row>
    <row r="149" spans="2:3" ht="15.6">
      <c r="B149"/>
      <c r="C149"/>
    </row>
    <row r="150" spans="2:3" ht="15.6">
      <c r="B150"/>
      <c r="C150"/>
    </row>
    <row r="151" spans="2:3" ht="15.6">
      <c r="B151"/>
      <c r="C151"/>
    </row>
    <row r="152" spans="2:3" ht="15.6">
      <c r="B152"/>
      <c r="C152"/>
    </row>
    <row r="153" spans="2:3" ht="15.6">
      <c r="B153"/>
      <c r="C153"/>
    </row>
    <row r="154" spans="2:3" ht="15.6">
      <c r="B154"/>
      <c r="C154"/>
    </row>
    <row r="155" spans="2:3" ht="15.6">
      <c r="B155"/>
      <c r="C155"/>
    </row>
    <row r="156" spans="2:3" ht="15.6">
      <c r="B156"/>
      <c r="C156"/>
    </row>
    <row r="157" spans="2:3" ht="15.6">
      <c r="B157"/>
      <c r="C157"/>
    </row>
    <row r="158" spans="2:3" ht="15.6">
      <c r="B158"/>
      <c r="C158"/>
    </row>
    <row r="159" spans="2:3" ht="15.6">
      <c r="B159"/>
      <c r="C159"/>
    </row>
    <row r="160" spans="2:3" ht="15.6">
      <c r="B160"/>
      <c r="C160"/>
    </row>
    <row r="161" spans="2:3" ht="15.6">
      <c r="B161"/>
      <c r="C161"/>
    </row>
    <row r="162" spans="2:3" ht="15.6">
      <c r="B162"/>
      <c r="C162"/>
    </row>
    <row r="163" spans="2:3" ht="15.6">
      <c r="B163"/>
      <c r="C163"/>
    </row>
    <row r="164" spans="2:3" ht="15.6">
      <c r="B164"/>
      <c r="C164"/>
    </row>
    <row r="165" spans="2:3" ht="15.6">
      <c r="B165"/>
      <c r="C165"/>
    </row>
    <row r="166" spans="2:3" ht="15.6">
      <c r="B166"/>
      <c r="C166"/>
    </row>
    <row r="167" spans="2:3" ht="15.6">
      <c r="B167"/>
      <c r="C167"/>
    </row>
    <row r="168" spans="2:3" ht="15.6">
      <c r="B168"/>
      <c r="C168"/>
    </row>
    <row r="169" spans="2:3" ht="15.6">
      <c r="B169"/>
      <c r="C169"/>
    </row>
    <row r="170" spans="2:3" ht="15.6">
      <c r="B170"/>
      <c r="C170"/>
    </row>
    <row r="171" spans="2:3" ht="15.6">
      <c r="B171"/>
      <c r="C171"/>
    </row>
    <row r="172" spans="2:3" ht="15.6">
      <c r="B172"/>
      <c r="C172"/>
    </row>
    <row r="173" spans="2:3" ht="15.6">
      <c r="B173"/>
      <c r="C173"/>
    </row>
    <row r="174" spans="2:3" ht="15.6">
      <c r="B174"/>
      <c r="C174"/>
    </row>
    <row r="175" spans="2:3" ht="15.6">
      <c r="B175"/>
      <c r="C175"/>
    </row>
    <row r="176" spans="2:3" ht="15.6">
      <c r="B176"/>
      <c r="C176"/>
    </row>
    <row r="177" spans="2:3" ht="15.6">
      <c r="B177"/>
      <c r="C177"/>
    </row>
    <row r="178" spans="2:3" ht="15.6">
      <c r="B178"/>
      <c r="C178"/>
    </row>
    <row r="179" spans="2:3" ht="15.6">
      <c r="B179"/>
      <c r="C179"/>
    </row>
    <row r="180" spans="2:3" ht="15.6">
      <c r="B180"/>
      <c r="C180"/>
    </row>
    <row r="181" spans="2:3" ht="15.6">
      <c r="B181"/>
      <c r="C181"/>
    </row>
    <row r="182" spans="2:3" ht="15.6">
      <c r="B182"/>
      <c r="C182"/>
    </row>
    <row r="183" spans="2:3" ht="15.6">
      <c r="B183"/>
      <c r="C183"/>
    </row>
    <row r="184" spans="2:3" ht="15.6">
      <c r="B184"/>
      <c r="C184"/>
    </row>
    <row r="185" spans="2:3" ht="15.6">
      <c r="B185"/>
      <c r="C185"/>
    </row>
    <row r="186" spans="2:3" ht="15.6">
      <c r="B186"/>
      <c r="C186"/>
    </row>
    <row r="187" spans="2:3" ht="15.6">
      <c r="B187"/>
      <c r="C187"/>
    </row>
    <row r="188" spans="2:3" ht="15.6">
      <c r="B188"/>
      <c r="C188"/>
    </row>
    <row r="189" spans="2:3" ht="15.6">
      <c r="B189"/>
      <c r="C189"/>
    </row>
    <row r="190" spans="2:3" ht="15.6">
      <c r="B190"/>
      <c r="C190"/>
    </row>
    <row r="191" spans="2:3" ht="15.6">
      <c r="B191"/>
      <c r="C191"/>
    </row>
    <row r="192" spans="2:3" ht="15.6">
      <c r="B192"/>
      <c r="C192"/>
    </row>
    <row r="193" spans="2:3" ht="15.6">
      <c r="B193"/>
      <c r="C193"/>
    </row>
    <row r="194" spans="2:3" ht="15.6">
      <c r="B194"/>
      <c r="C194"/>
    </row>
    <row r="195" spans="2:3" ht="15.6">
      <c r="B195"/>
      <c r="C195"/>
    </row>
    <row r="196" spans="2:3" ht="15.6">
      <c r="B196"/>
      <c r="C196"/>
    </row>
    <row r="197" spans="2:3" ht="15.6">
      <c r="B197"/>
      <c r="C197"/>
    </row>
    <row r="198" spans="2:3" ht="15.6">
      <c r="B198"/>
      <c r="C198"/>
    </row>
    <row r="199" spans="2:3" ht="15.6">
      <c r="B199"/>
      <c r="C199"/>
    </row>
    <row r="200" spans="2:3" ht="15.6">
      <c r="B200"/>
      <c r="C200"/>
    </row>
    <row r="201" spans="2:3" ht="15.6">
      <c r="B201"/>
      <c r="C201"/>
    </row>
    <row r="202" spans="2:3" ht="15.6">
      <c r="B202"/>
      <c r="C202"/>
    </row>
    <row r="203" spans="2:3" ht="15.6">
      <c r="B203"/>
      <c r="C203"/>
    </row>
    <row r="204" spans="2:3" ht="15.6">
      <c r="B204"/>
      <c r="C204"/>
    </row>
    <row r="205" spans="2:3" ht="15.6">
      <c r="B205"/>
      <c r="C205"/>
    </row>
    <row r="206" spans="2:3" ht="15.6">
      <c r="B206"/>
      <c r="C206"/>
    </row>
    <row r="207" spans="2:3" ht="15.6">
      <c r="B207"/>
      <c r="C207"/>
    </row>
    <row r="208" spans="2:3" ht="15.6">
      <c r="B208"/>
      <c r="C208"/>
    </row>
    <row r="209" spans="2:3" ht="15.6">
      <c r="B209"/>
      <c r="C209"/>
    </row>
    <row r="210" spans="2:3" ht="15.6">
      <c r="B210"/>
      <c r="C210"/>
    </row>
    <row r="211" spans="2:3" ht="15.6">
      <c r="B211"/>
      <c r="C211"/>
    </row>
    <row r="212" spans="2:3" ht="15.6">
      <c r="B212"/>
      <c r="C212"/>
    </row>
    <row r="213" spans="2:3" ht="15.6">
      <c r="B213"/>
      <c r="C213"/>
    </row>
    <row r="214" spans="2:3" ht="15.6">
      <c r="B214"/>
      <c r="C214"/>
    </row>
    <row r="215" spans="2:3" ht="15.6">
      <c r="B215"/>
      <c r="C215"/>
    </row>
    <row r="216" spans="2:3" ht="15.6">
      <c r="B216"/>
      <c r="C216"/>
    </row>
    <row r="217" spans="2:3" ht="15.6">
      <c r="B217"/>
      <c r="C217"/>
    </row>
    <row r="218" spans="2:3" ht="15.6">
      <c r="B218"/>
      <c r="C218"/>
    </row>
    <row r="219" spans="2:3" ht="15.6">
      <c r="B219"/>
      <c r="C219"/>
    </row>
    <row r="220" spans="2:3" ht="15.6">
      <c r="B220"/>
      <c r="C220"/>
    </row>
    <row r="221" spans="2:3" ht="15.6">
      <c r="B221"/>
      <c r="C221"/>
    </row>
    <row r="222" spans="2:3" ht="15.6">
      <c r="B222"/>
      <c r="C222"/>
    </row>
    <row r="223" spans="2:3" ht="15.6">
      <c r="B223"/>
      <c r="C223"/>
    </row>
    <row r="224" spans="2:3" ht="15.6">
      <c r="B224"/>
      <c r="C224"/>
    </row>
    <row r="225" spans="2:3" ht="15.6">
      <c r="B225"/>
      <c r="C225"/>
    </row>
    <row r="226" spans="2:3" ht="15.6">
      <c r="B226"/>
      <c r="C226"/>
    </row>
    <row r="227" spans="2:3" ht="15.6">
      <c r="B227"/>
      <c r="C227"/>
    </row>
    <row r="228" spans="2:3" ht="15.6">
      <c r="B228"/>
      <c r="C228"/>
    </row>
    <row r="229" spans="2:3" ht="15.6">
      <c r="B229"/>
      <c r="C229"/>
    </row>
    <row r="230" spans="2:3" ht="15.6">
      <c r="B230"/>
      <c r="C230"/>
    </row>
    <row r="231" spans="2:3" ht="15.6">
      <c r="B231"/>
      <c r="C231"/>
    </row>
    <row r="232" spans="2:3" ht="15.6">
      <c r="B232"/>
      <c r="C232"/>
    </row>
    <row r="233" spans="2:3" ht="15.6">
      <c r="B233"/>
      <c r="C233"/>
    </row>
    <row r="234" spans="2:3" ht="15.6">
      <c r="B234"/>
      <c r="C234"/>
    </row>
    <row r="235" spans="2:3" ht="15.6">
      <c r="B235"/>
      <c r="C235"/>
    </row>
    <row r="236" spans="2:3" ht="15.6">
      <c r="B236"/>
      <c r="C236"/>
    </row>
    <row r="237" spans="2:3" ht="15.6">
      <c r="B237"/>
      <c r="C237"/>
    </row>
    <row r="238" spans="2:3" ht="15.6">
      <c r="B238"/>
      <c r="C238"/>
    </row>
    <row r="239" spans="2:3" ht="15.6">
      <c r="B239"/>
      <c r="C239"/>
    </row>
    <row r="240" spans="2:3" ht="15.6">
      <c r="B240"/>
      <c r="C240"/>
    </row>
    <row r="241" spans="2:3" ht="15.6">
      <c r="B241"/>
      <c r="C241"/>
    </row>
    <row r="242" spans="2:3" ht="15.6">
      <c r="B242"/>
      <c r="C242"/>
    </row>
    <row r="243" spans="2:3" ht="15.6">
      <c r="B243"/>
      <c r="C243"/>
    </row>
    <row r="244" spans="2:3" ht="15.6">
      <c r="B244"/>
      <c r="C244"/>
    </row>
    <row r="245" spans="2:3" ht="15.6">
      <c r="B245"/>
      <c r="C245"/>
    </row>
    <row r="246" spans="2:3" ht="15.6">
      <c r="B246"/>
      <c r="C246"/>
    </row>
    <row r="247" spans="2:3" ht="15.6">
      <c r="B247"/>
      <c r="C247"/>
    </row>
    <row r="248" spans="2:3" ht="15.6">
      <c r="B248"/>
      <c r="C248"/>
    </row>
    <row r="249" spans="2:3" ht="15.6">
      <c r="B249"/>
      <c r="C249"/>
    </row>
    <row r="250" spans="2:3" ht="15.6">
      <c r="B250"/>
      <c r="C250"/>
    </row>
    <row r="251" spans="2:3" ht="15.6">
      <c r="B251"/>
      <c r="C251"/>
    </row>
    <row r="252" spans="2:3" ht="15.6">
      <c r="B252"/>
      <c r="C252"/>
    </row>
    <row r="253" spans="2:3" ht="15.6">
      <c r="B253"/>
      <c r="C253"/>
    </row>
    <row r="254" spans="2:3" ht="15.6">
      <c r="B254"/>
      <c r="C254"/>
    </row>
    <row r="255" spans="2:3" ht="15.6">
      <c r="B255"/>
      <c r="C255"/>
    </row>
    <row r="256" spans="2:3" ht="15.6">
      <c r="B256"/>
      <c r="C256"/>
    </row>
    <row r="257" spans="2:3" ht="15.6">
      <c r="B257"/>
      <c r="C257"/>
    </row>
    <row r="258" spans="2:3" ht="15.6">
      <c r="B258"/>
      <c r="C258"/>
    </row>
    <row r="259" spans="2:3" ht="15.6">
      <c r="B259"/>
      <c r="C259"/>
    </row>
    <row r="260" spans="2:3" ht="15.6">
      <c r="B260"/>
      <c r="C260"/>
    </row>
    <row r="261" spans="2:3" ht="15.6">
      <c r="B261"/>
      <c r="C261"/>
    </row>
    <row r="262" spans="2:3" ht="15.6">
      <c r="B262"/>
      <c r="C262"/>
    </row>
    <row r="263" spans="2:3" ht="15.6">
      <c r="B263"/>
      <c r="C263"/>
    </row>
    <row r="264" spans="2:3" ht="15.6">
      <c r="B264"/>
    </row>
    <row r="265" spans="2:3" ht="15.6">
      <c r="B265"/>
    </row>
    <row r="266" spans="2:3" ht="15.6">
      <c r="B266"/>
    </row>
    <row r="267" spans="2:3" ht="15.6">
      <c r="B267"/>
    </row>
    <row r="268" spans="2:3" ht="15.6">
      <c r="B268"/>
    </row>
    <row r="269" spans="2:3" ht="15.6">
      <c r="B269"/>
    </row>
    <row r="270" spans="2:3" ht="15.6">
      <c r="B270"/>
    </row>
    <row r="271" spans="2:3" ht="15.6">
      <c r="B271"/>
    </row>
    <row r="272" spans="2:3" ht="15.6">
      <c r="B272"/>
    </row>
    <row r="273" spans="2:2" ht="15.6">
      <c r="B273"/>
    </row>
    <row r="274" spans="2:2" ht="15.6">
      <c r="B274"/>
    </row>
    <row r="275" spans="2:2" ht="15.6">
      <c r="B275"/>
    </row>
    <row r="276" spans="2:2" ht="15.6">
      <c r="B276"/>
    </row>
    <row r="277" spans="2:2" ht="15.6">
      <c r="B277"/>
    </row>
    <row r="278" spans="2:2" ht="15.6">
      <c r="B278"/>
    </row>
    <row r="279" spans="2:2" ht="15.6">
      <c r="B279"/>
    </row>
    <row r="280" spans="2:2" ht="15.6">
      <c r="B280"/>
    </row>
    <row r="281" spans="2:2" ht="15.6">
      <c r="B281"/>
    </row>
    <row r="282" spans="2:2" ht="15.6">
      <c r="B282"/>
    </row>
    <row r="283" spans="2:2" ht="15.6">
      <c r="B283"/>
    </row>
    <row r="284" spans="2:2" ht="15.6">
      <c r="B284"/>
    </row>
    <row r="285" spans="2:2" ht="15.6">
      <c r="B285"/>
    </row>
    <row r="286" spans="2:2" ht="15.6">
      <c r="B286"/>
    </row>
    <row r="287" spans="2:2" ht="15.6">
      <c r="B287"/>
    </row>
    <row r="288" spans="2:2" ht="15.6">
      <c r="B288"/>
    </row>
    <row r="289" spans="2:2" ht="15.6">
      <c r="B289"/>
    </row>
    <row r="290" spans="2:2" ht="15.6">
      <c r="B290"/>
    </row>
    <row r="291" spans="2:2" ht="15.6">
      <c r="B291"/>
    </row>
    <row r="292" spans="2:2" ht="15.6">
      <c r="B292"/>
    </row>
    <row r="293" spans="2:2" ht="15.6">
      <c r="B293"/>
    </row>
    <row r="294" spans="2:2" ht="15.6">
      <c r="B294"/>
    </row>
    <row r="295" spans="2:2" ht="15.6">
      <c r="B295"/>
    </row>
    <row r="296" spans="2:2" ht="15.6">
      <c r="B296"/>
    </row>
    <row r="297" spans="2:2" ht="15.6">
      <c r="B297"/>
    </row>
    <row r="298" spans="2:2" ht="15.6">
      <c r="B298"/>
    </row>
    <row r="299" spans="2:2" ht="15.6">
      <c r="B299"/>
    </row>
    <row r="300" spans="2:2" ht="15.6">
      <c r="B300"/>
    </row>
    <row r="301" spans="2:2" ht="15.6">
      <c r="B301"/>
    </row>
    <row r="302" spans="2:2" ht="15.6">
      <c r="B302"/>
    </row>
    <row r="303" spans="2:2" ht="15.6">
      <c r="B303"/>
    </row>
    <row r="304" spans="2:2" ht="15.6">
      <c r="B304"/>
    </row>
    <row r="305" spans="2:2" ht="15.6">
      <c r="B305"/>
    </row>
    <row r="306" spans="2:2" ht="15.6">
      <c r="B306"/>
    </row>
    <row r="307" spans="2:2" ht="15.6">
      <c r="B307"/>
    </row>
    <row r="308" spans="2:2" ht="15.6">
      <c r="B308"/>
    </row>
    <row r="309" spans="2:2" ht="15.6">
      <c r="B309"/>
    </row>
    <row r="310" spans="2:2" ht="15.6">
      <c r="B310"/>
    </row>
    <row r="311" spans="2:2" ht="15.6">
      <c r="B311"/>
    </row>
    <row r="312" spans="2:2" ht="15.6">
      <c r="B312"/>
    </row>
    <row r="313" spans="2:2" ht="15.6">
      <c r="B313"/>
    </row>
    <row r="314" spans="2:2" ht="15.6">
      <c r="B314"/>
    </row>
    <row r="315" spans="2:2" ht="15.6">
      <c r="B315"/>
    </row>
    <row r="316" spans="2:2" ht="15.6">
      <c r="B316"/>
    </row>
    <row r="317" spans="2:2" ht="15.6">
      <c r="B317"/>
    </row>
    <row r="318" spans="2:2" ht="15.6">
      <c r="B318"/>
    </row>
    <row r="319" spans="2:2" ht="15.6">
      <c r="B319"/>
    </row>
    <row r="320" spans="2:2" ht="15.6">
      <c r="B320"/>
    </row>
    <row r="321" spans="2:2" ht="15.6">
      <c r="B321"/>
    </row>
    <row r="322" spans="2:2" ht="15.6">
      <c r="B322"/>
    </row>
    <row r="323" spans="2:2" ht="15.6">
      <c r="B323"/>
    </row>
    <row r="324" spans="2:2" ht="15.6">
      <c r="B324"/>
    </row>
    <row r="325" spans="2:2" ht="15.6">
      <c r="B325"/>
    </row>
    <row r="326" spans="2:2" ht="15.6">
      <c r="B326"/>
    </row>
    <row r="327" spans="2:2" ht="15.6">
      <c r="B327"/>
    </row>
    <row r="328" spans="2:2" ht="15.6">
      <c r="B328"/>
    </row>
    <row r="329" spans="2:2" ht="15.6">
      <c r="B329"/>
    </row>
    <row r="330" spans="2:2" ht="15.6">
      <c r="B330"/>
    </row>
    <row r="331" spans="2:2" ht="15.6">
      <c r="B331"/>
    </row>
    <row r="332" spans="2:2" ht="15.6">
      <c r="B332"/>
    </row>
    <row r="333" spans="2:2" ht="15.6">
      <c r="B333"/>
    </row>
    <row r="334" spans="2:2" ht="15.6">
      <c r="B334"/>
    </row>
    <row r="335" spans="2:2" ht="15.6">
      <c r="B335"/>
    </row>
    <row r="336" spans="2:2" ht="15.6">
      <c r="B336"/>
    </row>
    <row r="337" spans="2:2" ht="15.6">
      <c r="B337"/>
    </row>
    <row r="338" spans="2:2" ht="15.6">
      <c r="B338"/>
    </row>
    <row r="339" spans="2:2" ht="15.6">
      <c r="B339"/>
    </row>
    <row r="340" spans="2:2" ht="15.6">
      <c r="B340"/>
    </row>
    <row r="341" spans="2:2" ht="15.6">
      <c r="B341"/>
    </row>
    <row r="342" spans="2:2" ht="15.6">
      <c r="B342"/>
    </row>
    <row r="343" spans="2:2" ht="15.6">
      <c r="B343"/>
    </row>
    <row r="344" spans="2:2" ht="15.6">
      <c r="B344"/>
    </row>
    <row r="345" spans="2:2" ht="15.6">
      <c r="B345"/>
    </row>
    <row r="346" spans="2:2" ht="15.6">
      <c r="B346"/>
    </row>
    <row r="347" spans="2:2" ht="15.6">
      <c r="B347"/>
    </row>
    <row r="348" spans="2:2" ht="15.6">
      <c r="B348"/>
    </row>
    <row r="349" spans="2:2" ht="15.6">
      <c r="B349"/>
    </row>
    <row r="350" spans="2:2" ht="15.6">
      <c r="B350"/>
    </row>
    <row r="351" spans="2:2" ht="15.6">
      <c r="B351"/>
    </row>
    <row r="352" spans="2:2" ht="15.6">
      <c r="B352"/>
    </row>
    <row r="353" spans="2:2" ht="15.6">
      <c r="B353"/>
    </row>
    <row r="354" spans="2:2" ht="15.6">
      <c r="B354"/>
    </row>
    <row r="355" spans="2:2" ht="15.6">
      <c r="B355"/>
    </row>
    <row r="356" spans="2:2" ht="15.6">
      <c r="B356"/>
    </row>
    <row r="357" spans="2:2" ht="15.6">
      <c r="B357"/>
    </row>
    <row r="358" spans="2:2" ht="15.6">
      <c r="B358"/>
    </row>
    <row r="359" spans="2:2" ht="15.6">
      <c r="B359"/>
    </row>
    <row r="360" spans="2:2" ht="15.6">
      <c r="B360"/>
    </row>
    <row r="361" spans="2:2" ht="15.6">
      <c r="B361"/>
    </row>
    <row r="362" spans="2:2" ht="15.6">
      <c r="B362"/>
    </row>
    <row r="363" spans="2:2" ht="15.6">
      <c r="B363"/>
    </row>
    <row r="364" spans="2:2" ht="15.6">
      <c r="B364"/>
    </row>
    <row r="365" spans="2:2" ht="15.6">
      <c r="B365"/>
    </row>
    <row r="366" spans="2:2" ht="15.6">
      <c r="B366"/>
    </row>
    <row r="367" spans="2:2" ht="15.6">
      <c r="B367"/>
    </row>
    <row r="368" spans="2:2" ht="15.6">
      <c r="B368"/>
    </row>
    <row r="369" spans="2:2" ht="15.6">
      <c r="B369"/>
    </row>
    <row r="370" spans="2:2" ht="15.6">
      <c r="B370"/>
    </row>
    <row r="371" spans="2:2" ht="15.6">
      <c r="B371"/>
    </row>
    <row r="372" spans="2:2" ht="15.6">
      <c r="B372"/>
    </row>
    <row r="373" spans="2:2" ht="15.6">
      <c r="B373"/>
    </row>
    <row r="374" spans="2:2" ht="15.6">
      <c r="B374"/>
    </row>
    <row r="375" spans="2:2" ht="15.6">
      <c r="B375"/>
    </row>
    <row r="376" spans="2:2" ht="15.6">
      <c r="B376"/>
    </row>
    <row r="377" spans="2:2" ht="15.6">
      <c r="B377"/>
    </row>
    <row r="378" spans="2:2" ht="15.6">
      <c r="B378"/>
    </row>
    <row r="379" spans="2:2" ht="15.6">
      <c r="B379"/>
    </row>
    <row r="380" spans="2:2" ht="15.6">
      <c r="B380"/>
    </row>
    <row r="381" spans="2:2" ht="15.6">
      <c r="B381"/>
    </row>
    <row r="382" spans="2:2" ht="15.6">
      <c r="B382"/>
    </row>
    <row r="383" spans="2:2" ht="15.6">
      <c r="B383"/>
    </row>
    <row r="384" spans="2:2" ht="15.6">
      <c r="B384"/>
    </row>
    <row r="385" spans="2:2" ht="15.6">
      <c r="B385"/>
    </row>
    <row r="386" spans="2:2" ht="15.6">
      <c r="B386"/>
    </row>
    <row r="387" spans="2:2" ht="15.6">
      <c r="B387"/>
    </row>
    <row r="388" spans="2:2" ht="15.6">
      <c r="B388"/>
    </row>
    <row r="389" spans="2:2" ht="15.6">
      <c r="B389"/>
    </row>
    <row r="390" spans="2:2" ht="15.6">
      <c r="B390"/>
    </row>
    <row r="391" spans="2:2" ht="15.6">
      <c r="B391"/>
    </row>
    <row r="392" spans="2:2" ht="15.6">
      <c r="B392"/>
    </row>
    <row r="393" spans="2:2" ht="15.6">
      <c r="B393"/>
    </row>
    <row r="394" spans="2:2" ht="15.6">
      <c r="B394"/>
    </row>
    <row r="395" spans="2:2" ht="15.6">
      <c r="B395"/>
    </row>
    <row r="396" spans="2:2" ht="15.6">
      <c r="B396"/>
    </row>
    <row r="397" spans="2:2" ht="15.6">
      <c r="B397"/>
    </row>
    <row r="398" spans="2:2" ht="15.6">
      <c r="B398"/>
    </row>
    <row r="399" spans="2:2" ht="15.6">
      <c r="B399"/>
    </row>
    <row r="400" spans="2:2" ht="15.6">
      <c r="B400"/>
    </row>
    <row r="401" spans="2:2" ht="15.6">
      <c r="B401"/>
    </row>
    <row r="402" spans="2:2" ht="15.6">
      <c r="B402"/>
    </row>
    <row r="403" spans="2:2" ht="15.6">
      <c r="B403"/>
    </row>
    <row r="404" spans="2:2" ht="15.6">
      <c r="B404"/>
    </row>
    <row r="405" spans="2:2" ht="15.6">
      <c r="B405"/>
    </row>
    <row r="406" spans="2:2" ht="15.6">
      <c r="B406"/>
    </row>
    <row r="407" spans="2:2" ht="15.6">
      <c r="B407"/>
    </row>
    <row r="408" spans="2:2" ht="15.6">
      <c r="B408"/>
    </row>
    <row r="409" spans="2:2" ht="15.6">
      <c r="B409"/>
    </row>
    <row r="410" spans="2:2" ht="15.6">
      <c r="B410"/>
    </row>
    <row r="411" spans="2:2" ht="15.6">
      <c r="B411"/>
    </row>
    <row r="412" spans="2:2" ht="15.6">
      <c r="B412"/>
    </row>
    <row r="413" spans="2:2" ht="15.6">
      <c r="B413"/>
    </row>
    <row r="414" spans="2:2" ht="15.6">
      <c r="B414"/>
    </row>
    <row r="415" spans="2:2" ht="15.6">
      <c r="B415"/>
    </row>
    <row r="416" spans="2:2" ht="15.6">
      <c r="B416"/>
    </row>
    <row r="417" spans="2:2" ht="15.6">
      <c r="B417"/>
    </row>
    <row r="418" spans="2:2" ht="15.6">
      <c r="B418"/>
    </row>
    <row r="419" spans="2:2" ht="15.6">
      <c r="B419"/>
    </row>
    <row r="420" spans="2:2" ht="15.6">
      <c r="B420"/>
    </row>
    <row r="421" spans="2:2" ht="15.6">
      <c r="B421"/>
    </row>
    <row r="422" spans="2:2" ht="15.6">
      <c r="B422"/>
    </row>
    <row r="423" spans="2:2" ht="15.6">
      <c r="B423"/>
    </row>
    <row r="424" spans="2:2" ht="15.6">
      <c r="B424"/>
    </row>
    <row r="425" spans="2:2" ht="15.6">
      <c r="B425"/>
    </row>
    <row r="426" spans="2:2" ht="15.6">
      <c r="B426"/>
    </row>
    <row r="427" spans="2:2" ht="15.6">
      <c r="B427"/>
    </row>
    <row r="428" spans="2:2" ht="15.6">
      <c r="B428"/>
    </row>
    <row r="429" spans="2:2" ht="15.6">
      <c r="B429"/>
    </row>
    <row r="430" spans="2:2" ht="15.6">
      <c r="B430"/>
    </row>
    <row r="431" spans="2:2" ht="15.6">
      <c r="B431"/>
    </row>
    <row r="432" spans="2:2" ht="15.6">
      <c r="B432"/>
    </row>
    <row r="433" spans="2:2" ht="15.6">
      <c r="B433"/>
    </row>
    <row r="434" spans="2:2" ht="15.6">
      <c r="B434"/>
    </row>
    <row r="435" spans="2:2" ht="15.6">
      <c r="B435"/>
    </row>
    <row r="436" spans="2:2" ht="15.6">
      <c r="B436"/>
    </row>
    <row r="437" spans="2:2" ht="15.6">
      <c r="B437"/>
    </row>
    <row r="438" spans="2:2" ht="15.6">
      <c r="B438"/>
    </row>
    <row r="439" spans="2:2" ht="15.6">
      <c r="B439"/>
    </row>
    <row r="440" spans="2:2" ht="15.6">
      <c r="B440"/>
    </row>
    <row r="441" spans="2:2" ht="15.6">
      <c r="B441"/>
    </row>
    <row r="442" spans="2:2" ht="15.6">
      <c r="B442"/>
    </row>
    <row r="443" spans="2:2" ht="15.6">
      <c r="B443"/>
    </row>
    <row r="444" spans="2:2" ht="15.6">
      <c r="B444"/>
    </row>
    <row r="445" spans="2:2" ht="15.6">
      <c r="B445"/>
    </row>
    <row r="446" spans="2:2" ht="15.6">
      <c r="B446"/>
    </row>
    <row r="447" spans="2:2" ht="15.6">
      <c r="B447"/>
    </row>
    <row r="448" spans="2:2" ht="15.6">
      <c r="B448"/>
    </row>
    <row r="449" spans="2:2" ht="15.6">
      <c r="B449"/>
    </row>
    <row r="450" spans="2:2" ht="15.6">
      <c r="B450"/>
    </row>
    <row r="451" spans="2:2" ht="15.6">
      <c r="B451"/>
    </row>
    <row r="452" spans="2:2" ht="15.6">
      <c r="B452"/>
    </row>
    <row r="453" spans="2:2" ht="15.6">
      <c r="B453"/>
    </row>
    <row r="454" spans="2:2" ht="15.6">
      <c r="B454"/>
    </row>
    <row r="455" spans="2:2" ht="15.6">
      <c r="B455"/>
    </row>
    <row r="456" spans="2:2" ht="15.6">
      <c r="B456"/>
    </row>
    <row r="457" spans="2:2" ht="15.6">
      <c r="B457"/>
    </row>
    <row r="458" spans="2:2" ht="15.6">
      <c r="B458"/>
    </row>
    <row r="459" spans="2:2" ht="15.6">
      <c r="B459"/>
    </row>
    <row r="460" spans="2:2" ht="15.6">
      <c r="B460"/>
    </row>
    <row r="461" spans="2:2" ht="15.6">
      <c r="B461"/>
    </row>
    <row r="462" spans="2:2" ht="15.6">
      <c r="B462"/>
    </row>
    <row r="463" spans="2:2" ht="15.6">
      <c r="B463"/>
    </row>
    <row r="464" spans="2:2" ht="15.6">
      <c r="B464"/>
    </row>
    <row r="465" spans="2:2" ht="15.6">
      <c r="B465"/>
    </row>
    <row r="466" spans="2:2" ht="15.6">
      <c r="B466"/>
    </row>
    <row r="467" spans="2:2" ht="15.6">
      <c r="B467"/>
    </row>
    <row r="468" spans="2:2" ht="15.6">
      <c r="B468"/>
    </row>
    <row r="469" spans="2:2" ht="15.6">
      <c r="B469"/>
    </row>
    <row r="470" spans="2:2" ht="15.6">
      <c r="B470"/>
    </row>
    <row r="471" spans="2:2" ht="15.6">
      <c r="B471"/>
    </row>
    <row r="472" spans="2:2" ht="15.6">
      <c r="B472"/>
    </row>
    <row r="473" spans="2:2" ht="15.6">
      <c r="B473"/>
    </row>
    <row r="474" spans="2:2" ht="15.6">
      <c r="B474"/>
    </row>
    <row r="475" spans="2:2" ht="15.6">
      <c r="B475"/>
    </row>
    <row r="476" spans="2:2" ht="15.6">
      <c r="B476"/>
    </row>
    <row r="477" spans="2:2" ht="15.6">
      <c r="B477"/>
    </row>
    <row r="478" spans="2:2" ht="15.6">
      <c r="B478"/>
    </row>
    <row r="479" spans="2:2" ht="15.6">
      <c r="B479"/>
    </row>
    <row r="480" spans="2:2" ht="15.6">
      <c r="B480"/>
    </row>
    <row r="481" spans="2:2" ht="15.6">
      <c r="B481"/>
    </row>
    <row r="482" spans="2:2" ht="15.6">
      <c r="B482"/>
    </row>
    <row r="483" spans="2:2" ht="15.6">
      <c r="B483"/>
    </row>
    <row r="484" spans="2:2" ht="15.6">
      <c r="B484"/>
    </row>
    <row r="485" spans="2:2" ht="15.6">
      <c r="B485"/>
    </row>
    <row r="486" spans="2:2" ht="15.6">
      <c r="B486"/>
    </row>
    <row r="487" spans="2:2" ht="15.6">
      <c r="B487"/>
    </row>
    <row r="488" spans="2:2" ht="15.6">
      <c r="B488"/>
    </row>
    <row r="489" spans="2:2" ht="15.6">
      <c r="B489"/>
    </row>
    <row r="490" spans="2:2" ht="15.6">
      <c r="B490"/>
    </row>
    <row r="491" spans="2:2" ht="15.6">
      <c r="B491"/>
    </row>
    <row r="492" spans="2:2" ht="15.6">
      <c r="B49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11F99-A034-4944-8AAE-6E8591CC46A5}">
  <dimension ref="B1:J10"/>
  <sheetViews>
    <sheetView showGridLines="0" tabSelected="1" zoomScale="58" zoomScaleNormal="62" workbookViewId="0">
      <selection activeCell="K1" sqref="K1"/>
    </sheetView>
  </sheetViews>
  <sheetFormatPr baseColWidth="10" defaultRowHeight="15.6"/>
  <cols>
    <col min="1" max="1" width="9.58203125" customWidth="1"/>
    <col min="2" max="2" width="21.6640625" customWidth="1"/>
    <col min="3" max="3" width="7.08203125" customWidth="1"/>
    <col min="4" max="4" width="18.83203125" customWidth="1"/>
    <col min="6" max="7" width="19.33203125" bestFit="1" customWidth="1"/>
    <col min="8" max="8" width="20.9140625" bestFit="1" customWidth="1"/>
    <col min="10" max="10" width="8.83203125" customWidth="1"/>
  </cols>
  <sheetData>
    <row r="1" spans="2:10" ht="16.2" thickBot="1"/>
    <row r="2" spans="2:10" ht="39" customHeight="1" thickBot="1">
      <c r="B2" s="67" t="s">
        <v>1107</v>
      </c>
      <c r="C2" s="68"/>
      <c r="D2" s="68"/>
      <c r="E2" s="68"/>
      <c r="F2" s="68"/>
      <c r="G2" s="68"/>
      <c r="H2" s="68"/>
      <c r="I2" s="68"/>
      <c r="J2" s="69"/>
    </row>
    <row r="4" spans="2:10" s="53" customFormat="1" ht="18">
      <c r="B4" s="53" t="s">
        <v>1087</v>
      </c>
      <c r="D4" s="53" t="s">
        <v>1088</v>
      </c>
      <c r="F4" s="53" t="s">
        <v>1089</v>
      </c>
      <c r="H4" s="53" t="s">
        <v>1090</v>
      </c>
    </row>
    <row r="5" spans="2:10" s="54" customFormat="1" ht="18">
      <c r="B5" s="57">
        <v>1376471572</v>
      </c>
      <c r="D5" s="55">
        <v>506454215</v>
      </c>
      <c r="F5" s="58">
        <v>0.36793655989867402</v>
      </c>
      <c r="H5" s="59">
        <v>16461</v>
      </c>
    </row>
    <row r="6" spans="2:10">
      <c r="B6" s="51"/>
    </row>
    <row r="7" spans="2:10">
      <c r="B7" s="51"/>
    </row>
    <row r="8" spans="2:10">
      <c r="B8" s="51"/>
    </row>
    <row r="10" spans="2:10" ht="18.600000000000001" customHeight="1">
      <c r="D10" s="64" t="s">
        <v>1136</v>
      </c>
      <c r="E10" s="65"/>
      <c r="F10" s="66">
        <f>GETPIVOTDATA("[Measures].[Beneficio Total]",$D$4)/GETPIVOTDATA("[Measures].[Unidades Vendidas]",$H$4)</f>
        <v>30766.916651479252</v>
      </c>
    </row>
  </sheetData>
  <mergeCells count="1">
    <mergeCell ref="B2:J2"/>
  </mergeCells>
  <conditionalFormatting pivot="1" sqref="D5">
    <cfRule type="cellIs" dxfId="87" priority="7" operator="greaterThan">
      <formula>506454215</formula>
    </cfRule>
  </conditionalFormatting>
  <conditionalFormatting pivot="1" sqref="D5">
    <cfRule type="colorScale" priority="6">
      <colorScale>
        <cfvo type="min"/>
        <cfvo type="max"/>
        <color rgb="FFFF0000"/>
        <color rgb="FF00B050"/>
      </colorScale>
    </cfRule>
  </conditionalFormatting>
  <conditionalFormatting pivot="1" sqref="D5">
    <cfRule type="cellIs" dxfId="86" priority="5" operator="greaterThan">
      <formula>506454215</formula>
    </cfRule>
  </conditionalFormatting>
  <conditionalFormatting pivot="1" sqref="D5">
    <cfRule type="cellIs" dxfId="85" priority="4" operator="lessThan">
      <formula>300000</formula>
    </cfRule>
  </conditionalFormatting>
  <conditionalFormatting pivot="1" sqref="D5">
    <cfRule type="cellIs" dxfId="84" priority="3" operator="greaterThan">
      <formula>300000</formula>
    </cfRule>
  </conditionalFormatting>
  <conditionalFormatting pivot="1" sqref="D5">
    <cfRule type="cellIs" dxfId="83" priority="2" operator="greaterThan">
      <formula>300000</formula>
    </cfRule>
  </conditionalFormatting>
  <conditionalFormatting pivot="1" sqref="D5">
    <cfRule type="cellIs" dxfId="82" priority="1" operator="lessThan">
      <formula>300000</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0D84-8C0C-4C63-A22C-667F6A406B6C}">
  <dimension ref="A1:L40"/>
  <sheetViews>
    <sheetView showGridLines="0" zoomScale="57" workbookViewId="0">
      <selection activeCell="H39" sqref="H39"/>
    </sheetView>
  </sheetViews>
  <sheetFormatPr baseColWidth="10" defaultRowHeight="15.6"/>
  <cols>
    <col min="2" max="3" width="10.6640625" customWidth="1"/>
    <col min="6" max="6" width="10.6640625" customWidth="1"/>
  </cols>
  <sheetData>
    <row r="1" spans="1:12">
      <c r="C1" s="75" t="s">
        <v>1109</v>
      </c>
      <c r="D1" s="75"/>
      <c r="E1" s="75"/>
      <c r="F1" s="75"/>
      <c r="G1" s="75"/>
      <c r="H1" s="75"/>
      <c r="I1" s="75"/>
      <c r="J1" s="75"/>
      <c r="K1" s="75"/>
    </row>
    <row r="2" spans="1:12">
      <c r="C2" s="75"/>
      <c r="D2" s="75"/>
      <c r="E2" s="75"/>
      <c r="F2" s="75"/>
      <c r="G2" s="75"/>
      <c r="H2" s="75"/>
      <c r="I2" s="75"/>
      <c r="J2" s="75"/>
      <c r="K2" s="75"/>
    </row>
    <row r="3" spans="1:12" ht="18">
      <c r="A3" s="61" t="s">
        <v>1108</v>
      </c>
    </row>
    <row r="4" spans="1:12">
      <c r="A4" s="60"/>
    </row>
    <row r="5" spans="1:12">
      <c r="A5" s="63" t="s">
        <v>1110</v>
      </c>
      <c r="B5" s="56"/>
      <c r="C5" s="56"/>
    </row>
    <row r="6" spans="1:12">
      <c r="A6" s="74" t="s">
        <v>1111</v>
      </c>
      <c r="B6" s="74"/>
      <c r="C6" s="74"/>
      <c r="D6" s="74"/>
      <c r="E6" s="74"/>
      <c r="F6" s="74"/>
      <c r="G6" s="74"/>
      <c r="H6" s="74"/>
      <c r="I6" s="74"/>
      <c r="J6" s="74"/>
      <c r="K6" s="74"/>
      <c r="L6" s="74"/>
    </row>
    <row r="7" spans="1:12">
      <c r="A7" s="74"/>
      <c r="B7" s="74"/>
      <c r="C7" s="74"/>
      <c r="D7" s="74"/>
      <c r="E7" s="74"/>
      <c r="F7" s="74"/>
      <c r="G7" s="74"/>
      <c r="H7" s="74"/>
      <c r="I7" s="74"/>
      <c r="J7" s="74"/>
      <c r="K7" s="74"/>
      <c r="L7" s="74"/>
    </row>
    <row r="8" spans="1:12">
      <c r="A8" s="62"/>
      <c r="B8" s="62"/>
      <c r="C8" s="62"/>
      <c r="D8" s="62"/>
      <c r="E8" s="62"/>
      <c r="F8" s="62"/>
      <c r="G8" s="62"/>
      <c r="H8" s="62"/>
      <c r="I8" s="62"/>
      <c r="J8" s="62"/>
      <c r="K8" s="62"/>
      <c r="L8" s="62"/>
    </row>
    <row r="9" spans="1:12">
      <c r="A9" s="63" t="s">
        <v>1113</v>
      </c>
      <c r="B9" s="56"/>
      <c r="C9" s="56"/>
      <c r="D9" s="56"/>
      <c r="E9" s="56"/>
    </row>
    <row r="10" spans="1:12">
      <c r="A10" s="74" t="s">
        <v>1112</v>
      </c>
      <c r="B10" s="74"/>
      <c r="C10" s="74"/>
      <c r="D10" s="74"/>
      <c r="E10" s="74"/>
      <c r="F10" s="74"/>
      <c r="G10" s="74"/>
      <c r="H10" s="74"/>
      <c r="I10" s="74"/>
      <c r="J10" s="74"/>
      <c r="K10" s="74"/>
      <c r="L10" s="74"/>
    </row>
    <row r="11" spans="1:12">
      <c r="A11" s="74"/>
      <c r="B11" s="74"/>
      <c r="C11" s="74"/>
      <c r="D11" s="74"/>
      <c r="E11" s="74"/>
      <c r="F11" s="74"/>
      <c r="G11" s="74"/>
      <c r="H11" s="74"/>
      <c r="I11" s="74"/>
      <c r="J11" s="74"/>
      <c r="K11" s="74"/>
      <c r="L11" s="74"/>
    </row>
    <row r="12" spans="1:12">
      <c r="A12" s="62"/>
      <c r="B12" s="62"/>
      <c r="C12" s="62"/>
      <c r="D12" s="62"/>
      <c r="E12" s="62"/>
      <c r="F12" s="62"/>
      <c r="G12" s="62"/>
      <c r="H12" s="62"/>
      <c r="I12" s="62"/>
      <c r="J12" s="62"/>
      <c r="K12" s="62"/>
      <c r="L12" s="62"/>
    </row>
    <row r="13" spans="1:12">
      <c r="A13" s="63" t="s">
        <v>1114</v>
      </c>
      <c r="B13" s="56"/>
      <c r="C13" s="56"/>
      <c r="D13" s="56"/>
      <c r="E13" s="56"/>
      <c r="F13" s="56"/>
    </row>
    <row r="14" spans="1:12" ht="15.6" customHeight="1">
      <c r="A14" s="74" t="s">
        <v>1115</v>
      </c>
      <c r="B14" s="74"/>
      <c r="C14" s="74"/>
      <c r="D14" s="74"/>
      <c r="E14" s="74"/>
      <c r="F14" s="74"/>
      <c r="G14" s="74"/>
      <c r="H14" s="74"/>
      <c r="I14" s="74"/>
      <c r="J14" s="74"/>
      <c r="K14" s="74"/>
      <c r="L14" s="74"/>
    </row>
    <row r="15" spans="1:12">
      <c r="A15" s="74"/>
      <c r="B15" s="74"/>
      <c r="C15" s="74"/>
      <c r="D15" s="74"/>
      <c r="E15" s="74"/>
      <c r="F15" s="74"/>
      <c r="G15" s="74"/>
      <c r="H15" s="74"/>
      <c r="I15" s="74"/>
      <c r="J15" s="74"/>
      <c r="K15" s="74"/>
      <c r="L15" s="74"/>
    </row>
    <row r="16" spans="1:12">
      <c r="A16" s="74"/>
      <c r="B16" s="74"/>
      <c r="C16" s="74"/>
      <c r="D16" s="74"/>
      <c r="E16" s="74"/>
      <c r="F16" s="74"/>
      <c r="G16" s="74"/>
      <c r="H16" s="74"/>
      <c r="I16" s="74"/>
      <c r="J16" s="74"/>
      <c r="K16" s="74"/>
      <c r="L16" s="74"/>
    </row>
    <row r="17" spans="1:12">
      <c r="A17" s="62"/>
      <c r="B17" s="62"/>
      <c r="C17" s="62"/>
      <c r="D17" s="62"/>
      <c r="E17" s="62"/>
      <c r="F17" s="62"/>
      <c r="G17" s="62"/>
      <c r="H17" s="62"/>
      <c r="I17" s="62"/>
      <c r="J17" s="62"/>
      <c r="K17" s="62"/>
      <c r="L17" s="62"/>
    </row>
    <row r="18" spans="1:12">
      <c r="A18" s="62"/>
      <c r="B18" s="62"/>
      <c r="C18" s="75" t="s">
        <v>1116</v>
      </c>
      <c r="D18" s="75"/>
      <c r="E18" s="75"/>
      <c r="F18" s="75"/>
      <c r="G18" s="75"/>
      <c r="H18" s="75"/>
      <c r="I18" s="75"/>
      <c r="J18" s="75"/>
      <c r="K18" s="75"/>
      <c r="L18" s="62"/>
    </row>
    <row r="19" spans="1:12">
      <c r="A19" s="62"/>
      <c r="B19" s="62"/>
      <c r="C19" s="75"/>
      <c r="D19" s="75"/>
      <c r="E19" s="75"/>
      <c r="F19" s="75"/>
      <c r="G19" s="75"/>
      <c r="H19" s="75"/>
      <c r="I19" s="75"/>
      <c r="J19" s="75"/>
      <c r="K19" s="75"/>
      <c r="L19" s="62"/>
    </row>
    <row r="20" spans="1:12" ht="15.6" customHeight="1">
      <c r="A20" s="76" t="s">
        <v>1117</v>
      </c>
      <c r="B20" s="76"/>
      <c r="C20" s="76"/>
      <c r="D20" s="76"/>
      <c r="E20" s="76"/>
      <c r="F20" s="76"/>
      <c r="G20" s="76"/>
      <c r="H20" s="76"/>
      <c r="I20" s="76"/>
      <c r="J20" s="76"/>
      <c r="K20" s="76"/>
      <c r="L20" s="76"/>
    </row>
    <row r="21" spans="1:12">
      <c r="A21" s="76"/>
      <c r="B21" s="76"/>
      <c r="C21" s="76"/>
      <c r="D21" s="76"/>
      <c r="E21" s="76"/>
      <c r="F21" s="76"/>
      <c r="G21" s="76"/>
      <c r="H21" s="76"/>
      <c r="I21" s="76"/>
      <c r="J21" s="76"/>
      <c r="K21" s="76"/>
      <c r="L21" s="76"/>
    </row>
    <row r="22" spans="1:12">
      <c r="A22" s="76"/>
      <c r="B22" s="76"/>
      <c r="C22" s="76"/>
      <c r="D22" s="76"/>
      <c r="E22" s="76"/>
      <c r="F22" s="76"/>
      <c r="G22" s="76"/>
      <c r="H22" s="76"/>
      <c r="I22" s="76"/>
      <c r="J22" s="76"/>
      <c r="K22" s="76"/>
      <c r="L22" s="76"/>
    </row>
    <row r="23" spans="1:12">
      <c r="A23" s="76"/>
      <c r="B23" s="76"/>
      <c r="C23" s="76"/>
      <c r="D23" s="76"/>
      <c r="E23" s="76"/>
      <c r="F23" s="76"/>
      <c r="G23" s="76"/>
      <c r="H23" s="76"/>
      <c r="I23" s="76"/>
      <c r="J23" s="76"/>
      <c r="K23" s="76"/>
      <c r="L23" s="76"/>
    </row>
    <row r="24" spans="1:12">
      <c r="C24" s="75" t="s">
        <v>1118</v>
      </c>
      <c r="D24" s="75"/>
      <c r="E24" s="75"/>
      <c r="F24" s="75"/>
      <c r="G24" s="75"/>
      <c r="H24" s="75"/>
      <c r="I24" s="75"/>
      <c r="J24" s="75"/>
      <c r="K24" s="75"/>
    </row>
    <row r="25" spans="1:12">
      <c r="C25" s="75"/>
      <c r="D25" s="75"/>
      <c r="E25" s="75"/>
      <c r="F25" s="75"/>
      <c r="G25" s="75"/>
      <c r="H25" s="75"/>
      <c r="I25" s="75"/>
      <c r="J25" s="75"/>
      <c r="K25" s="75"/>
    </row>
    <row r="26" spans="1:12">
      <c r="A26" s="73" t="s">
        <v>1119</v>
      </c>
      <c r="B26" s="73"/>
      <c r="C26" s="73"/>
      <c r="D26" s="73"/>
      <c r="E26" s="73"/>
      <c r="F26" s="73"/>
      <c r="G26" s="73"/>
      <c r="H26" s="73"/>
      <c r="I26" s="73"/>
      <c r="J26" s="73"/>
      <c r="K26" s="73"/>
      <c r="L26" s="73"/>
    </row>
    <row r="27" spans="1:12">
      <c r="A27" s="73"/>
      <c r="B27" s="73"/>
      <c r="C27" s="73"/>
      <c r="D27" s="73"/>
      <c r="E27" s="73"/>
      <c r="F27" s="73"/>
      <c r="G27" s="73"/>
      <c r="H27" s="73"/>
      <c r="I27" s="73"/>
      <c r="J27" s="73"/>
      <c r="K27" s="73"/>
      <c r="L27" s="73"/>
    </row>
    <row r="29" spans="1:12" ht="46.8" customHeight="1">
      <c r="A29" s="77" t="s">
        <v>1120</v>
      </c>
      <c r="B29" s="78"/>
      <c r="C29" s="79"/>
      <c r="D29" s="78" t="s">
        <v>1121</v>
      </c>
      <c r="E29" s="78"/>
      <c r="F29" s="78"/>
      <c r="G29" s="77" t="s">
        <v>1122</v>
      </c>
      <c r="H29" s="78"/>
      <c r="I29" s="79"/>
      <c r="J29" s="87" t="s">
        <v>1131</v>
      </c>
      <c r="K29" s="88"/>
      <c r="L29" s="89"/>
    </row>
    <row r="30" spans="1:12" ht="102" customHeight="1">
      <c r="A30" s="77" t="s">
        <v>1110</v>
      </c>
      <c r="B30" s="78"/>
      <c r="C30" s="79"/>
      <c r="D30" s="94" t="s">
        <v>1123</v>
      </c>
      <c r="E30" s="94"/>
      <c r="F30" s="94"/>
      <c r="G30" s="93" t="s">
        <v>1124</v>
      </c>
      <c r="H30" s="94"/>
      <c r="I30" s="95"/>
      <c r="J30" s="90" t="s">
        <v>1132</v>
      </c>
      <c r="K30" s="91"/>
      <c r="L30" s="92"/>
    </row>
    <row r="31" spans="1:12" ht="109.8" customHeight="1">
      <c r="A31" s="77" t="s">
        <v>1125</v>
      </c>
      <c r="B31" s="78"/>
      <c r="C31" s="79"/>
      <c r="D31" s="94" t="s">
        <v>1126</v>
      </c>
      <c r="E31" s="94"/>
      <c r="F31" s="94"/>
      <c r="G31" s="93" t="s">
        <v>1127</v>
      </c>
      <c r="H31" s="94"/>
      <c r="I31" s="95"/>
      <c r="J31" s="90" t="s">
        <v>1133</v>
      </c>
      <c r="K31" s="91"/>
      <c r="L31" s="92"/>
    </row>
    <row r="32" spans="1:12" ht="148.80000000000001" customHeight="1">
      <c r="A32" s="81" t="s">
        <v>1128</v>
      </c>
      <c r="B32" s="82"/>
      <c r="C32" s="83"/>
      <c r="D32" s="84" t="s">
        <v>1129</v>
      </c>
      <c r="E32" s="84"/>
      <c r="F32" s="84"/>
      <c r="G32" s="85" t="s">
        <v>1130</v>
      </c>
      <c r="H32" s="84"/>
      <c r="I32" s="86"/>
      <c r="J32" s="90" t="s">
        <v>1134</v>
      </c>
      <c r="K32" s="91"/>
      <c r="L32" s="92"/>
    </row>
    <row r="34" spans="1:12">
      <c r="C34" s="80" t="s">
        <v>1135</v>
      </c>
      <c r="D34" s="80"/>
      <c r="E34" s="80"/>
      <c r="F34" s="80"/>
      <c r="G34" s="80"/>
      <c r="H34" s="80"/>
      <c r="I34" s="80"/>
      <c r="J34" s="80"/>
      <c r="K34" s="80"/>
    </row>
    <row r="35" spans="1:12">
      <c r="C35" s="80"/>
      <c r="D35" s="80"/>
      <c r="E35" s="80"/>
      <c r="F35" s="80"/>
      <c r="G35" s="80"/>
      <c r="H35" s="80"/>
      <c r="I35" s="80"/>
      <c r="J35" s="80"/>
      <c r="K35" s="80"/>
    </row>
    <row r="37" spans="1:12" ht="15.6" customHeight="1">
      <c r="A37" s="73" t="s">
        <v>1137</v>
      </c>
      <c r="B37" s="73"/>
      <c r="C37" s="73"/>
      <c r="D37" s="73"/>
      <c r="E37" s="73"/>
      <c r="F37" s="73"/>
      <c r="G37" s="73"/>
      <c r="H37" s="73"/>
      <c r="I37" s="73"/>
      <c r="J37" s="73"/>
      <c r="K37" s="73"/>
      <c r="L37" s="73"/>
    </row>
    <row r="38" spans="1:12">
      <c r="A38" s="73"/>
      <c r="B38" s="73"/>
      <c r="C38" s="73"/>
      <c r="D38" s="73"/>
      <c r="E38" s="73"/>
      <c r="F38" s="73"/>
      <c r="G38" s="73"/>
      <c r="H38" s="73"/>
      <c r="I38" s="73"/>
      <c r="J38" s="73"/>
      <c r="K38" s="73"/>
      <c r="L38" s="73"/>
    </row>
    <row r="39" spans="1:12">
      <c r="A39" t="s">
        <v>1138</v>
      </c>
    </row>
    <row r="40" spans="1:12">
      <c r="A40" t="s">
        <v>1139</v>
      </c>
    </row>
  </sheetData>
  <mergeCells count="26">
    <mergeCell ref="D30:F30"/>
    <mergeCell ref="A30:C30"/>
    <mergeCell ref="A31:C31"/>
    <mergeCell ref="D31:F31"/>
    <mergeCell ref="G31:I31"/>
    <mergeCell ref="J29:L29"/>
    <mergeCell ref="J30:L30"/>
    <mergeCell ref="J31:L31"/>
    <mergeCell ref="J32:L32"/>
    <mergeCell ref="G30:I30"/>
    <mergeCell ref="A37:L38"/>
    <mergeCell ref="A6:L7"/>
    <mergeCell ref="A10:L11"/>
    <mergeCell ref="C1:K2"/>
    <mergeCell ref="A20:L23"/>
    <mergeCell ref="A14:L16"/>
    <mergeCell ref="C18:K19"/>
    <mergeCell ref="C24:K25"/>
    <mergeCell ref="A26:L27"/>
    <mergeCell ref="A29:C29"/>
    <mergeCell ref="D29:F29"/>
    <mergeCell ref="G29:I29"/>
    <mergeCell ref="C34:K35"/>
    <mergeCell ref="A32:C32"/>
    <mergeCell ref="D32:F32"/>
    <mergeCell ref="G32:I3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Props1.xml><?xml version="1.0" encoding="utf-8"?>
<ds:datastoreItem xmlns:ds="http://schemas.openxmlformats.org/officeDocument/2006/customXml" ds:itemID="{20AE1660-3824-42FC-855F-8C0783EB8C37}">
  <ds:schemaRefs/>
</ds:datastoreItem>
</file>

<file path=customXml/itemProps2.xml><?xml version="1.0" encoding="utf-8"?>
<ds:datastoreItem xmlns:ds="http://schemas.openxmlformats.org/officeDocument/2006/customXml" ds:itemID="{B48C8AE8-178D-498B-B092-2E02482DFBB1}">
  <ds:schemaRefs/>
</ds:datastoreItem>
</file>

<file path=customXml/itemProps3.xml><?xml version="1.0" encoding="utf-8"?>
<ds:datastoreItem xmlns:ds="http://schemas.openxmlformats.org/officeDocument/2006/customXml" ds:itemID="{46ED65ED-FE8F-485F-A16A-6750EA32399C}">
  <ds:schemaRefs/>
</ds:datastoreItem>
</file>

<file path=customXml/itemProps4.xml><?xml version="1.0" encoding="utf-8"?>
<ds:datastoreItem xmlns:ds="http://schemas.openxmlformats.org/officeDocument/2006/customXml" ds:itemID="{A8556775-F943-4FDD-8705-5C24FF94D824}">
  <ds:schemaRefs/>
</ds:datastoreItem>
</file>

<file path=customXml/itemProps5.xml><?xml version="1.0" encoding="utf-8"?>
<ds:datastoreItem xmlns:ds="http://schemas.openxmlformats.org/officeDocument/2006/customXml" ds:itemID="{41522B65-0D79-4034-9A5F-4E45247FF0D4}">
  <ds:schemaRefs>
    <ds:schemaRef ds:uri="http://schemas.microsoft.com/DataMashup"/>
  </ds:schemaRefs>
</ds:datastoreItem>
</file>

<file path=customXml/itemProps6.xml><?xml version="1.0" encoding="utf-8"?>
<ds:datastoreItem xmlns:ds="http://schemas.openxmlformats.org/officeDocument/2006/customXml" ds:itemID="{66AF95CE-68F2-4C15-8C45-A25FCE90335B}">
  <ds:schemaRefs/>
</ds:datastoreItem>
</file>

<file path=customXml/itemProps7.xml><?xml version="1.0" encoding="utf-8"?>
<ds:datastoreItem xmlns:ds="http://schemas.openxmlformats.org/officeDocument/2006/customXml" ds:itemID="{3D164AE2-457A-48ED-BCE2-1505A2359AFB}">
  <ds:schemaRefs/>
</ds:datastoreItem>
</file>

<file path=customXml/itemProps8.xml><?xml version="1.0" encoding="utf-8"?>
<ds:datastoreItem xmlns:ds="http://schemas.openxmlformats.org/officeDocument/2006/customXml" ds:itemID="{5F7902E8-D7AD-43D6-8B4A-8C7FE08F1610}">
  <ds:schemaRefs/>
</ds:datastoreItem>
</file>

<file path=customXml/itemProps9.xml><?xml version="1.0" encoding="utf-8"?>
<ds:datastoreItem xmlns:ds="http://schemas.openxmlformats.org/officeDocument/2006/customXml" ds:itemID="{99BC0890-311B-4C06-BD76-0C36F5BF3E59}">
  <ds:schemaRefs/>
</ds:datastoreItem>
</file>

<file path=customXml/itemProps10.xml><?xml version="1.0" encoding="utf-8"?>
<ds:datastoreItem xmlns:ds="http://schemas.openxmlformats.org/officeDocument/2006/customXml" ds:itemID="{5EDEC99C-8745-49EF-9755-49682542373C}">
  <ds:schemaRefs/>
</ds:datastoreItem>
</file>

<file path=customXml/itemProps11.xml><?xml version="1.0" encoding="utf-8"?>
<ds:datastoreItem xmlns:ds="http://schemas.openxmlformats.org/officeDocument/2006/customXml" ds:itemID="{281CAFBD-6FE1-4F56-AA78-FF058B3986DE}">
  <ds:schemaRefs/>
</ds:datastoreItem>
</file>

<file path=customXml/itemProps12.xml><?xml version="1.0" encoding="utf-8"?>
<ds:datastoreItem xmlns:ds="http://schemas.openxmlformats.org/officeDocument/2006/customXml" ds:itemID="{B28DBA28-48C2-4BA5-B2D4-0D475618031C}">
  <ds:schemaRefs/>
</ds:datastoreItem>
</file>

<file path=customXml/itemProps13.xml><?xml version="1.0" encoding="utf-8"?>
<ds:datastoreItem xmlns:ds="http://schemas.openxmlformats.org/officeDocument/2006/customXml" ds:itemID="{6CACE42E-6EEC-4054-A923-17BF7DBE8602}">
  <ds:schemaRefs/>
</ds:datastoreItem>
</file>

<file path=customXml/itemProps14.xml><?xml version="1.0" encoding="utf-8"?>
<ds:datastoreItem xmlns:ds="http://schemas.openxmlformats.org/officeDocument/2006/customXml" ds:itemID="{28990893-C6A7-4467-9071-600610A1003A}">
  <ds:schemaRefs/>
</ds:datastoreItem>
</file>

<file path=customXml/itemProps15.xml><?xml version="1.0" encoding="utf-8"?>
<ds:datastoreItem xmlns:ds="http://schemas.openxmlformats.org/officeDocument/2006/customXml" ds:itemID="{B54ED5E3-1371-4CCC-B42F-F697436CEC88}">
  <ds:schemaRefs/>
</ds:datastoreItem>
</file>

<file path=customXml/itemProps16.xml><?xml version="1.0" encoding="utf-8"?>
<ds:datastoreItem xmlns:ds="http://schemas.openxmlformats.org/officeDocument/2006/customXml" ds:itemID="{58BC0530-4240-4299-9C1B-A4807532B76D}">
  <ds:schemaRefs/>
</ds:datastoreItem>
</file>

<file path=customXml/itemProps17.xml><?xml version="1.0" encoding="utf-8"?>
<ds:datastoreItem xmlns:ds="http://schemas.openxmlformats.org/officeDocument/2006/customXml" ds:itemID="{4B369726-E43D-4622-B4D2-CB1D07A2881A}">
  <ds:schemaRefs/>
</ds:datastoreItem>
</file>

<file path=customXml/itemProps18.xml><?xml version="1.0" encoding="utf-8"?>
<ds:datastoreItem xmlns:ds="http://schemas.openxmlformats.org/officeDocument/2006/customXml" ds:itemID="{3E6BABEA-E191-40FD-A4EC-5201AA40C388}">
  <ds:schemaRefs/>
</ds:datastoreItem>
</file>

<file path=customXml/itemProps19.xml><?xml version="1.0" encoding="utf-8"?>
<ds:datastoreItem xmlns:ds="http://schemas.openxmlformats.org/officeDocument/2006/customXml" ds:itemID="{53EC24FD-9294-449D-9DEF-312BAA31F187}">
  <ds:schemaRefs/>
</ds:datastoreItem>
</file>

<file path=customXml/itemProps20.xml><?xml version="1.0" encoding="utf-8"?>
<ds:datastoreItem xmlns:ds="http://schemas.openxmlformats.org/officeDocument/2006/customXml" ds:itemID="{6A96382D-9189-486A-AB87-4829A05222A0}">
  <ds:schemaRefs/>
</ds:datastoreItem>
</file>

<file path=customXml/itemProps21.xml><?xml version="1.0" encoding="utf-8"?>
<ds:datastoreItem xmlns:ds="http://schemas.openxmlformats.org/officeDocument/2006/customXml" ds:itemID="{5B308E02-D19F-4921-AB89-88CA119B298E}">
  <ds:schemaRefs/>
</ds:datastoreItem>
</file>

<file path=customXml/itemProps22.xml><?xml version="1.0" encoding="utf-8"?>
<ds:datastoreItem xmlns:ds="http://schemas.openxmlformats.org/officeDocument/2006/customXml" ds:itemID="{2A97FA55-17C7-4833-9569-7BF322FA4755}">
  <ds:schemaRefs/>
</ds:datastoreItem>
</file>

<file path=customXml/itemProps23.xml><?xml version="1.0" encoding="utf-8"?>
<ds:datastoreItem xmlns:ds="http://schemas.openxmlformats.org/officeDocument/2006/customXml" ds:itemID="{9097C631-E5F6-4276-94DF-EC474D3031D5}">
  <ds:schemaRefs/>
</ds:datastoreItem>
</file>

<file path=customXml/itemProps24.xml><?xml version="1.0" encoding="utf-8"?>
<ds:datastoreItem xmlns:ds="http://schemas.openxmlformats.org/officeDocument/2006/customXml" ds:itemID="{5A7FC61D-9584-4881-A365-27814CF3C4BD}">
  <ds:schemaRefs/>
</ds:datastoreItem>
</file>

<file path=customXml/itemProps25.xml><?xml version="1.0" encoding="utf-8"?>
<ds:datastoreItem xmlns:ds="http://schemas.openxmlformats.org/officeDocument/2006/customXml" ds:itemID="{453B622E-1970-49A5-993F-40D4A07F6C24}">
  <ds:schemaRefs/>
</ds:datastoreItem>
</file>

<file path=customXml/itemProps26.xml><?xml version="1.0" encoding="utf-8"?>
<ds:datastoreItem xmlns:ds="http://schemas.openxmlformats.org/officeDocument/2006/customXml" ds:itemID="{85E8944D-0253-45DD-8D6D-A89AB802A475}">
  <ds:schemaRefs/>
</ds:datastoreItem>
</file>

<file path=customXml/itemProps27.xml><?xml version="1.0" encoding="utf-8"?>
<ds:datastoreItem xmlns:ds="http://schemas.openxmlformats.org/officeDocument/2006/customXml" ds:itemID="{0D2B088B-A84C-453A-B1B9-3CE0B303A5C9}">
  <ds:schemaRefs/>
</ds:datastoreItem>
</file>

<file path=customXml/itemProps28.xml><?xml version="1.0" encoding="utf-8"?>
<ds:datastoreItem xmlns:ds="http://schemas.openxmlformats.org/officeDocument/2006/customXml" ds:itemID="{8FC42B4D-7781-4B8A-8730-2BC296EE9EB7}">
  <ds:schemaRefs/>
</ds:datastoreItem>
</file>

<file path=customXml/itemProps29.xml><?xml version="1.0" encoding="utf-8"?>
<ds:datastoreItem xmlns:ds="http://schemas.openxmlformats.org/officeDocument/2006/customXml" ds:itemID="{280D9768-F871-46DC-8BB3-521351AABC48}">
  <ds:schemaRefs/>
</ds:datastoreItem>
</file>

<file path=customXml/itemProps30.xml><?xml version="1.0" encoding="utf-8"?>
<ds:datastoreItem xmlns:ds="http://schemas.openxmlformats.org/officeDocument/2006/customXml" ds:itemID="{FF7329AE-74A0-47C9-B4BC-DD78A8268273}">
  <ds:schemaRefs/>
</ds:datastoreItem>
</file>

<file path=customXml/itemProps31.xml><?xml version="1.0" encoding="utf-8"?>
<ds:datastoreItem xmlns:ds="http://schemas.openxmlformats.org/officeDocument/2006/customXml" ds:itemID="{E905773C-3A9C-4A25-AB95-C19435E4841C}">
  <ds:schemaRefs/>
</ds:datastoreItem>
</file>

<file path=customXml/itemProps32.xml><?xml version="1.0" encoding="utf-8"?>
<ds:datastoreItem xmlns:ds="http://schemas.openxmlformats.org/officeDocument/2006/customXml" ds:itemID="{8B0A7EB7-AB85-4D45-B179-49673DF1A1F3}">
  <ds:schemaRefs/>
</ds:datastoreItem>
</file>

<file path=customXml/itemProps33.xml><?xml version="1.0" encoding="utf-8"?>
<ds:datastoreItem xmlns:ds="http://schemas.openxmlformats.org/officeDocument/2006/customXml" ds:itemID="{444CDF40-D4F2-4B9C-8B98-F8E5555B33C6}">
  <ds:schemaRefs/>
</ds:datastoreItem>
</file>

<file path=customXml/itemProps34.xml><?xml version="1.0" encoding="utf-8"?>
<ds:datastoreItem xmlns:ds="http://schemas.openxmlformats.org/officeDocument/2006/customXml" ds:itemID="{7F701201-F010-4D95-843A-C9A354A0CE64}">
  <ds:schemaRefs/>
</ds:datastoreItem>
</file>

<file path=customXml/itemProps35.xml><?xml version="1.0" encoding="utf-8"?>
<ds:datastoreItem xmlns:ds="http://schemas.openxmlformats.org/officeDocument/2006/customXml" ds:itemID="{EE9366C4-BE02-43FA-8C7E-7A2DA08F58E9}">
  <ds:schemaRefs/>
</ds:datastoreItem>
</file>

<file path=customXml/itemProps36.xml><?xml version="1.0" encoding="utf-8"?>
<ds:datastoreItem xmlns:ds="http://schemas.openxmlformats.org/officeDocument/2006/customXml" ds:itemID="{73F317AF-CCBE-42E1-97D4-86B76CD34AB9}">
  <ds:schemaRefs/>
</ds:datastoreItem>
</file>

<file path=customXml/itemProps37.xml><?xml version="1.0" encoding="utf-8"?>
<ds:datastoreItem xmlns:ds="http://schemas.openxmlformats.org/officeDocument/2006/customXml" ds:itemID="{5712A582-16AD-42C1-B5FF-4FB22044A5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datos_crudos</vt:lpstr>
      <vt:lpstr>Fact_Transacciones</vt:lpstr>
      <vt:lpstr>Dim_Clientes</vt:lpstr>
      <vt:lpstr>Dim_Productos</vt:lpstr>
      <vt:lpstr>Dim_Calendario</vt:lpstr>
      <vt:lpstr>Estadistica_Descriptiva</vt:lpstr>
      <vt:lpstr>Simulacion_Financiera</vt:lpstr>
      <vt:lpstr>Resumen del escenario</vt:lpstr>
      <vt:lpstr>Motor_KPI</vt:lpstr>
      <vt:lpstr>Dashboard_Final</vt:lpstr>
      <vt:lpstr>Notas_Analisis_IA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Viviana Calani</cp:lastModifiedBy>
  <dcterms:created xsi:type="dcterms:W3CDTF">2026-09-13T21:47:06Z</dcterms:created>
  <dcterms:modified xsi:type="dcterms:W3CDTF">2026-09-15T17:17:25Z</dcterms:modified>
</cp:coreProperties>
</file>